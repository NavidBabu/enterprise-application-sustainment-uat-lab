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d7bc411e7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95ebdf2ba247f1"/>
    <x:sheet xmlns:r="http://schemas.openxmlformats.org/officeDocument/2006/relationships" name="Requirements Register" sheetId="2" r:id="R0a4ff9ce4bc8447f"/>
    <x:sheet xmlns:r="http://schemas.openxmlformats.org/officeDocument/2006/relationships" name="UAT Test Cases" sheetId="3" r:id="Re1873a8d86d84be1"/>
    <x:sheet xmlns:r="http://schemas.openxmlformats.org/officeDocument/2006/relationships" name="Issue Log" sheetId="4" r:id="R0b1305c562f744db"/>
    <x:sheet xmlns:r="http://schemas.openxmlformats.org/officeDocument/2006/relationships" name="Change Tracker" sheetId="5" r:id="R0e4a184ccc014ab1"/>
    <x:sheet xmlns:r="http://schemas.openxmlformats.org/officeDocument/2006/relationships" name="User Documentation" sheetId="6" r:id="Rc782aa93934e4ca1"/>
    <x:sheet xmlns:r="http://schemas.openxmlformats.org/officeDocument/2006/relationships" name="Process Map" sheetId="7" r:id="R6595f8b6f491419a"/>
    <x:sheet xmlns:r="http://schemas.openxmlformats.org/officeDocument/2006/relationships" name="Dashboard" sheetId="8" r:id="R0fdfadd3d90f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3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4">
    <x:border/>
    <x:border/>
    <x:border>
      <x:left style="thin">
        <x:color rgb="FF17365D"/>
      </x:left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</x:border>
    <x:border>
      <x:right style="thin">
        <x:color rgb="FF17365D"/>
      </x:right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</x:border>
    <x:border>
      <x:right style="thin">
        <x:color rgb="FF17365D"/>
      </x:right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horizontal="center" wrapText="1"/>
    </x:xf>
    <x:xf numFmtId="0" fontId="4" fillId="3" borderId="9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3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4" fillId="3" borderId="1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 applyAlignment="1">
      <x:alignment horizontal="center"/>
    </x:xf>
    <x:xf numFmtId="202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0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001ddf35c4e1e" /><Relationship Type="http://schemas.openxmlformats.org/officeDocument/2006/relationships/theme" Target="/xl/theme/theme1.xml" Id="Rfd28275acadd4302" /><Relationship Type="http://schemas.openxmlformats.org/officeDocument/2006/relationships/sharedStrings" Target="/xl/sharedStrings.xml" Id="R3b211c05aaf84a7f" /><Relationship Type="http://schemas.openxmlformats.org/officeDocument/2006/relationships/worksheet" Target="/xl/worksheets/sheet1.xml" Id="R6c95ebdf2ba247f1" /><Relationship Type="http://schemas.openxmlformats.org/officeDocument/2006/relationships/worksheet" Target="/xl/worksheets/sheet2.xml" Id="R0a4ff9ce4bc8447f" /><Relationship Type="http://schemas.openxmlformats.org/officeDocument/2006/relationships/worksheet" Target="/xl/worksheets/sheet3.xml" Id="Re1873a8d86d84be1" /><Relationship Type="http://schemas.openxmlformats.org/officeDocument/2006/relationships/worksheet" Target="/xl/worksheets/sheet4.xml" Id="R0b1305c562f744db" /><Relationship Type="http://schemas.openxmlformats.org/officeDocument/2006/relationships/worksheet" Target="/xl/worksheets/sheet5.xml" Id="R0e4a184ccc014ab1" /><Relationship Type="http://schemas.openxmlformats.org/officeDocument/2006/relationships/worksheet" Target="/xl/worksheets/sheet6.xml" Id="Rc782aa93934e4ca1" /><Relationship Type="http://schemas.openxmlformats.org/officeDocument/2006/relationships/worksheet" Target="/xl/worksheets/sheet7.xml" Id="R6595f8b6f491419a" /><Relationship Type="http://schemas.openxmlformats.org/officeDocument/2006/relationships/worksheet" Target="/xl/worksheets/sheet8.xml" Id="R0fdfadd3d90f40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009ca6c3014e0d" /><Relationship Type="http://schemas.openxmlformats.org/officeDocument/2006/relationships/chart" Target="/xl/drawings/charts/chart2.xml" Id="Rb202380455d542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Issues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'Dashboard'!$B$11:$B$16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UAT Results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'Dashboard'!$E$11:$E$13</c:f>
              <c:strCache>
                <c:ptCount val="0"/>
              </c:strCache>
            </c:strRef>
          </c:cat>
          <c:val>
            <c:numRef>
              <c:f>'Dashboard'!$F$11:$F$13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009ca6c3014e0d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02380455d542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7107d73236f4e6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Enterprise Application Sustainment &amp; UAT Lab</x:v>
      </x:c>
      <x:c r="B1" s="5"/>
      <x:c r="C1" s="5"/>
      <x:c r="D1" s="5"/>
      <x:c r="E1" s="5"/>
      <x:c r="F1" s="5"/>
      <x:c r="G1" s="5"/>
      <x:c r="H1" s="5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9" t="str">
        <x:v>Project Purpose</x:v>
      </x:c>
      <x:c r="B3" s="89"/>
      <x:c r="C3" s="89"/>
      <x:c r="D3" s="89"/>
      <x:c r="E3" s="89"/>
      <x:c r="F3" s="89"/>
      <x:c r="G3" s="89"/>
      <x:c r="H3" s="89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 ht="28" customHeight="1">
      <x:c r="A4" s="90" t="str">
        <x:v>Simulated portfolio project demonstrating business requirements documentation, reporting, data analysis, application testing, issue investigation, user documentation, and continuous-improvement support.</x:v>
      </x:c>
      <x:c r="B4" s="90"/>
      <x:c r="C4" s="90"/>
      <x:c r="D4" s="90"/>
      <x:c r="E4" s="90"/>
      <x:c r="F4" s="90"/>
      <x:c r="G4" s="90"/>
      <x:c r="H4" s="90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 ht="28" customHeight="1">
      <x:c r="A5" s="90" t="str"/>
      <x:c r="B5" s="90"/>
      <x:c r="C5" s="90"/>
      <x:c r="D5" s="90"/>
      <x:c r="E5" s="90"/>
      <x:c r="F5" s="90"/>
      <x:c r="G5" s="90"/>
      <x:c r="H5" s="90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 ht="28" customHeight="1">
      <x:c r="A6" s="90" t="str">
        <x:v>All users, requirements, issues, test cases, and operational data are simulated. No employer or production data is used.</x:v>
      </x:c>
      <x:c r="B6" s="90"/>
      <x:c r="C6" s="90"/>
      <x:c r="D6" s="90"/>
      <x:c r="E6" s="90"/>
      <x:c r="F6" s="90"/>
      <x:c r="G6" s="90"/>
      <x:c r="H6" s="90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 ht="28" customHeight="1">
      <x:c r="A7" s="90" t="str"/>
      <x:c r="B7" s="90"/>
      <x:c r="C7" s="90"/>
      <x:c r="D7" s="90"/>
      <x:c r="E7" s="90"/>
      <x:c r="F7" s="90"/>
      <x:c r="G7" s="90"/>
      <x:c r="H7" s="90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 ht="28" customHeight="1">
      <x:c r="A8" s="90" t="str">
        <x:v>Workbook components:</x:v>
      </x:c>
      <x:c r="B8" s="90"/>
      <x:c r="C8" s="90"/>
      <x:c r="D8" s="90"/>
      <x:c r="E8" s="90"/>
      <x:c r="F8" s="90"/>
      <x:c r="G8" s="90"/>
      <x:c r="H8" s="90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 ht="28" customHeight="1">
      <x:c r="A9" s="90" t="str">
        <x:v>1. Requirements Register — business needs, acceptance criteria, priority, owner, and traceability.</x:v>
      </x:c>
      <x:c r="B9" s="90"/>
      <x:c r="C9" s="90"/>
      <x:c r="D9" s="90"/>
      <x:c r="E9" s="90"/>
      <x:c r="F9" s="90"/>
      <x:c r="G9" s="90"/>
      <x:c r="H9" s="90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 ht="28" customHeight="1">
      <x:c r="A10" s="90" t="str">
        <x:v>2. UAT Test Cases — test steps, expected results, actual results, status, and linked requirements.</x:v>
      </x:c>
      <x:c r="B10" s="90"/>
      <x:c r="C10" s="90"/>
      <x:c r="D10" s="90"/>
      <x:c r="E10" s="90"/>
      <x:c r="F10" s="90"/>
      <x:c r="G10" s="90"/>
      <x:c r="H10" s="90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 ht="28" customHeight="1">
      <x:c r="A11" s="90" t="str">
        <x:v>3. Issue Log — simulated application issues, severity, root cause, resolution, and status.</x:v>
      </x:c>
      <x:c r="B11" s="90"/>
      <x:c r="C11" s="90"/>
      <x:c r="D11" s="90"/>
      <x:c r="E11" s="90"/>
      <x:c r="F11" s="90"/>
      <x:c r="G11" s="90"/>
      <x:c r="H11" s="90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 ht="28" customHeight="1">
      <x:c r="A12" s="90" t="str">
        <x:v>4. Change Tracker — enhancement/change requests with impact, testing, communication, and implementation status.</x:v>
      </x:c>
      <x:c r="B12" s="90"/>
      <x:c r="C12" s="90"/>
      <x:c r="D12" s="90"/>
      <x:c r="E12" s="90"/>
      <x:c r="F12" s="90"/>
      <x:c r="G12" s="90"/>
      <x:c r="H12" s="90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 ht="28" customHeight="1">
      <x:c r="A13" s="90" t="str">
        <x:v>5. User Documentation — job aids/reference guides and audience/status tracking.</x:v>
      </x:c>
      <x:c r="B13" s="90"/>
      <x:c r="C13" s="90"/>
      <x:c r="D13" s="90"/>
      <x:c r="E13" s="90"/>
      <x:c r="F13" s="90"/>
      <x:c r="G13" s="90"/>
      <x:c r="H13" s="90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 ht="28" customHeight="1">
      <x:c r="A14" s="90" t="str">
        <x:v>6. Dashboard — requirement, UAT, issue, and change KPIs with charts.</x:v>
      </x:c>
      <x:c r="B14" s="90"/>
      <x:c r="C14" s="90"/>
      <x:c r="D14" s="90"/>
      <x:c r="E14" s="90"/>
      <x:c r="F14" s="90"/>
      <x:c r="G14" s="90"/>
      <x:c r="H14" s="90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 ht="28" customHeight="1">
      <x:c r="A15" s="90" t="str">
        <x:v>7. Process Map — simple sustainment lifecycle from request through implementation and documentation.</x:v>
      </x:c>
      <x:c r="B15" s="90"/>
      <x:c r="C15" s="90"/>
      <x:c r="D15" s="90"/>
      <x:c r="E15" s="90"/>
      <x:c r="F15" s="90"/>
      <x:c r="G15" s="90"/>
      <x:c r="H15" s="90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26" hidden="0" customWidth="1"/>
    <x:col min="5" max="5" width="10" hidden="0" customWidth="1"/>
    <x:col min="6" max="6" width="40" hidden="0" customWidth="1"/>
    <x:col min="7" max="7" width="18" hidden="0" customWidth="1"/>
    <x:col min="8" max="8" width="13" hidden="0" customWidth="1"/>
    <x:col min="9" max="9" width="12" hidden="0" customWidth="1"/>
    <x:col min="10" max="10" width="11" hidden="0" customWidth="1"/>
    <x:col min="11" max="11" width="14" hidden="0" customWidth="1"/>
  </x:cols>
  <x:sheetData>
    <x:row r="1">
      <x:c r="A1" s="5" t="str">
        <x:v>Business Requirements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22" t="str">
        <x:v>Req ID</x:v>
      </x:c>
      <x:c r="B3" s="22" t="str">
        <x:v>Business Area</x:v>
      </x:c>
      <x:c r="C3" s="22" t="str">
        <x:v>Requirement</x:v>
      </x:c>
      <x:c r="D3" s="22" t="str">
        <x:v>Business Value</x:v>
      </x:c>
      <x:c r="E3" s="22" t="str">
        <x:v>Priority</x:v>
      </x:c>
      <x:c r="F3" s="22" t="str">
        <x:v>Acceptance Criteria</x:v>
      </x:c>
      <x:c r="G3" s="22" t="str">
        <x:v>Owner</x:v>
      </x:c>
      <x:c r="H3" s="22" t="str">
        <x:v>Status</x:v>
      </x:c>
      <x:c r="I3" s="22" t="str">
        <x:v>Linked Test</x:v>
      </x:c>
      <x:c r="J3" s="22" t="str">
        <x:v>Change ID</x:v>
      </x:c>
      <x:c r="K3" s="22" t="str">
        <x:v>Notes</x:v>
      </x:c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90" t="str">
        <x:v>REQ-001</x:v>
      </x:c>
      <x:c r="B4" s="90" t="str">
        <x:v>Field Operations</x:v>
      </x:c>
      <x:c r="C4" s="90" t="str">
        <x:v>Allow supervisors to filter work orders by crew and due date</x:v>
      </x:c>
      <x:c r="D4" s="90" t="str">
        <x:v>Faster daily planning</x:v>
      </x:c>
      <x:c r="E4" s="90" t="str">
        <x:v>High</x:v>
      </x:c>
      <x:c r="F4" s="90" t="str">
        <x:v>Filter returns only selected crew/date range</x:v>
      </x:c>
      <x:c r="G4" s="90" t="str">
        <x:v>Operations Lead</x:v>
      </x:c>
      <x:c r="H4" s="90" t="str">
        <x:v>Approved</x:v>
      </x:c>
      <x:c r="I4" s="90" t="str">
        <x:v>UAT-001</x:v>
      </x:c>
      <x:c r="J4" s="90" t="str">
        <x:v>CHG-001</x:v>
      </x:c>
      <x:c r="K4" s="90" t="str">
        <x:v>Simulated</x:v>
      </x:c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0" t="str">
        <x:v>REQ-002</x:v>
      </x:c>
      <x:c r="B5" s="90" t="str">
        <x:v>Field Operations</x:v>
      </x:c>
      <x:c r="C5" s="90" t="str">
        <x:v>Display overdue work prominently</x:v>
      </x:c>
      <x:c r="D5" s="90" t="str">
        <x:v>Improve prioritization</x:v>
      </x:c>
      <x:c r="E5" s="90" t="str">
        <x:v>High</x:v>
      </x:c>
      <x:c r="F5" s="90" t="str">
        <x:v>Overdue work is visually identifiable</x:v>
      </x:c>
      <x:c r="G5" s="90" t="str">
        <x:v>Operations Lead</x:v>
      </x:c>
      <x:c r="H5" s="90" t="str">
        <x:v>Approved</x:v>
      </x:c>
      <x:c r="I5" s="90" t="str">
        <x:v>UAT-002</x:v>
      </x:c>
      <x:c r="J5" s="90" t="str">
        <x:v>CHG-001</x:v>
      </x:c>
      <x:c r="K5" s="90" t="str">
        <x:v>Simulated</x:v>
      </x:c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90" t="str">
        <x:v>REQ-003</x:v>
      </x:c>
      <x:c r="B6" s="90" t="str">
        <x:v>Scheduling</x:v>
      </x:c>
      <x:c r="C6" s="90" t="str">
        <x:v>Export weekly work summary to CSV</x:v>
      </x:c>
      <x:c r="D6" s="90" t="str">
        <x:v>Reduce manual reporting</x:v>
      </x:c>
      <x:c r="E6" s="90" t="str">
        <x:v>Medium</x:v>
      </x:c>
      <x:c r="F6" s="90" t="str">
        <x:v>CSV contains required fields and correct totals</x:v>
      </x:c>
      <x:c r="G6" s="90" t="str">
        <x:v>Scheduler</x:v>
      </x:c>
      <x:c r="H6" s="90" t="str">
        <x:v>In Testing</x:v>
      </x:c>
      <x:c r="I6" s="90" t="str">
        <x:v>UAT-003</x:v>
      </x:c>
      <x:c r="J6" s="90" t="str">
        <x:v>CHG-002</x:v>
      </x:c>
      <x:c r="K6" s="90" t="str">
        <x:v>Simulated</x:v>
      </x:c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90" t="str">
        <x:v>REQ-004</x:v>
      </x:c>
      <x:c r="B7" s="90" t="str">
        <x:v>User Support</x:v>
      </x:c>
      <x:c r="C7" s="90" t="str">
        <x:v>Add clearer error message for failed work-order sync</x:v>
      </x:c>
      <x:c r="D7" s="90" t="str">
        <x:v>Reduce support calls</x:v>
      </x:c>
      <x:c r="E7" s="90" t="str">
        <x:v>Medium</x:v>
      </x:c>
      <x:c r="F7" s="90" t="str">
        <x:v>User receives actionable error text</x:v>
      </x:c>
      <x:c r="G7" s="90" t="str">
        <x:v>Support Lead</x:v>
      </x:c>
      <x:c r="H7" s="90" t="str">
        <x:v>Approved</x:v>
      </x:c>
      <x:c r="I7" s="90" t="str">
        <x:v>UAT-004</x:v>
      </x:c>
      <x:c r="J7" s="90" t="str">
        <x:v>CHG-003</x:v>
      </x:c>
      <x:c r="K7" s="90" t="str">
        <x:v>Simulated</x:v>
      </x:c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0" t="str">
        <x:v>REQ-005</x:v>
      </x:c>
      <x:c r="B8" s="90" t="str">
        <x:v>Reporting</x:v>
      </x:c>
      <x:c r="C8" s="90" t="str">
        <x:v>Create completion-rate KPI by district</x:v>
      </x:c>
      <x:c r="D8" s="90" t="str">
        <x:v>Improve operational visibility</x:v>
      </x:c>
      <x:c r="E8" s="90" t="str">
        <x:v>High</x:v>
      </x:c>
      <x:c r="F8" s="90" t="str">
        <x:v>Dashboard calculates completion rate by district</x:v>
      </x:c>
      <x:c r="G8" s="90" t="str">
        <x:v>Reporting Analyst</x:v>
      </x:c>
      <x:c r="H8" s="90" t="str">
        <x:v>In Testing</x:v>
      </x:c>
      <x:c r="I8" s="90" t="str">
        <x:v>UAT-005</x:v>
      </x:c>
      <x:c r="J8" s="90" t="str">
        <x:v>CHG-004</x:v>
      </x:c>
      <x:c r="K8" s="90" t="str">
        <x:v>Simulated</x:v>
      </x:c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0" t="str">
        <x:v>REQ-006</x:v>
      </x:c>
      <x:c r="B9" s="90" t="str">
        <x:v>Training</x:v>
      </x:c>
      <x:c r="C9" s="90" t="str">
        <x:v>Create quick-reference guide for new workflow</x:v>
      </x:c>
      <x:c r="D9" s="90" t="str">
        <x:v>Improve adoption</x:v>
      </x:c>
      <x:c r="E9" s="90" t="str">
        <x:v>Medium</x:v>
      </x:c>
      <x:c r="F9" s="90" t="str">
        <x:v>Guide covers login, search, update, and escalation</x:v>
      </x:c>
      <x:c r="G9" s="90" t="str">
        <x:v>Training Lead</x:v>
      </x:c>
      <x:c r="H9" s="90" t="str">
        <x:v>Draft</x:v>
      </x:c>
      <x:c r="I9" s="90" t="str">
        <x:v>UAT-006</x:v>
      </x:c>
      <x:c r="J9" s="90" t="str">
        <x:v>CHG-001</x:v>
      </x:c>
      <x:c r="K9" s="90" t="str">
        <x:v>Simulated</x:v>
      </x:c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90" t="str">
        <x:v>REQ-007</x:v>
      </x:c>
      <x:c r="B10" s="90" t="str">
        <x:v>Data Quality</x:v>
      </x:c>
      <x:c r="C10" s="90" t="str">
        <x:v>Prevent blank completion codes</x:v>
      </x:c>
      <x:c r="D10" s="90" t="str">
        <x:v>Improve data integrity</x:v>
      </x:c>
      <x:c r="E10" s="90" t="str">
        <x:v>High</x:v>
      </x:c>
      <x:c r="F10" s="90" t="str">
        <x:v>Save blocked when completion code is blank</x:v>
      </x:c>
      <x:c r="G10" s="90" t="str">
        <x:v>Business Analyst</x:v>
      </x:c>
      <x:c r="H10" s="90" t="str">
        <x:v>Approved</x:v>
      </x:c>
      <x:c r="I10" s="90" t="str">
        <x:v>UAT-007</x:v>
      </x:c>
      <x:c r="J10" s="90" t="str">
        <x:v>CHG-005</x:v>
      </x:c>
      <x:c r="K10" s="90" t="str">
        <x:v>Simulated</x:v>
      </x:c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0" t="str">
        <x:v>REQ-008</x:v>
      </x:c>
      <x:c r="B11" s="90" t="str">
        <x:v>Field Operations</x:v>
      </x:c>
      <x:c r="C11" s="90" t="str">
        <x:v>Preserve user filter between sessions</x:v>
      </x:c>
      <x:c r="D11" s="90" t="str">
        <x:v>Reduce repetitive setup</x:v>
      </x:c>
      <x:c r="E11" s="90" t="str">
        <x:v>Low</x:v>
      </x:c>
      <x:c r="F11" s="90" t="str">
        <x:v>Last valid filter loads on next login</x:v>
      </x:c>
      <x:c r="G11" s="90" t="str">
        <x:v>Operations Lead</x:v>
      </x:c>
      <x:c r="H11" s="90" t="str">
        <x:v>Backlog</x:v>
      </x:c>
      <x:c r="I11" s="90" t="str">
        <x:v>UAT-008</x:v>
      </x:c>
      <x:c r="J11" s="90" t="str">
        <x:v>CHG-006</x:v>
      </x:c>
      <x:c r="K11" s="90" t="str">
        <x:v>Simulated</x:v>
      </x:c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K1"/>
  </x:mergeCells>
  <x:conditionalFormatting sqref="E4:E11">
    <x:cfRule type="expression" dxfId="0" priority="1">
      <x:formula>E4="High"</x:formula>
    </x:cfRule>
  </x:conditionalFormatting>
  <x:conditionalFormatting sqref="H4:H11">
    <x:cfRule type="expression" dxfId="1" priority="2">
      <x:formula>H4="Approved"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0" hidden="0" customWidth="1"/>
    <x:col min="5" max="5" width="42" hidden="0" customWidth="1"/>
    <x:col min="6" max="6" width="40" hidden="0" customWidth="1"/>
    <x:col min="7" max="7" width="30" hidden="0" customWidth="1"/>
    <x:col min="8" max="8" width="11" hidden="0" customWidth="1"/>
    <x:col min="9" max="9" width="16" hidden="0" customWidth="1"/>
    <x:col min="10" max="10" width="13" hidden="0" customWidth="1"/>
    <x:col min="11" max="11" width="11" hidden="0" customWidth="1"/>
    <x:col min="12" max="12" width="25" hidden="0" customWidth="1"/>
  </x:cols>
  <x:sheetData>
    <x:row r="1">
      <x:c r="A1" s="5" t="str">
        <x:v>User Acceptance Testing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22" t="str">
        <x:v>Test ID</x:v>
      </x:c>
      <x:c r="B3" s="22" t="str">
        <x:v>Req ID</x:v>
      </x:c>
      <x:c r="C3" s="22" t="str">
        <x:v>Scenario</x:v>
      </x:c>
      <x:c r="D3" s="22" t="str">
        <x:v>Precondition</x:v>
      </x:c>
      <x:c r="E3" s="22" t="str">
        <x:v>Test Steps</x:v>
      </x:c>
      <x:c r="F3" s="22" t="str">
        <x:v>Expected Result</x:v>
      </x:c>
      <x:c r="G3" s="22" t="str">
        <x:v>Actual Result</x:v>
      </x:c>
      <x:c r="H3" s="22" t="str">
        <x:v>Status</x:v>
      </x:c>
      <x:c r="I3" s="22" t="str">
        <x:v>Tester</x:v>
      </x:c>
      <x:c r="J3" s="22" t="str">
        <x:v>Test Date</x:v>
      </x:c>
      <x:c r="K3" s="22" t="str">
        <x:v>Defect ID</x:v>
      </x:c>
      <x:c r="L3" s="22" t="str">
        <x:v>Evidence</x:v>
      </x:c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90" t="str">
        <x:v>UAT-001</x:v>
      </x:c>
      <x:c r="B4" s="90" t="str">
        <x:v>REQ-001</x:v>
      </x:c>
      <x:c r="C4" s="90" t="str">
        <x:v>Validate REQ-001 business outcome</x:v>
      </x:c>
      <x:c r="D4" s="90" t="str">
        <x:v>Test user and sample work records available</x:v>
      </x:c>
      <x:c r="E4" s="90" t="str">
        <x:v>1. Open application  2. Complete workflow  3. Compare result to acceptance criteria</x:v>
      </x:c>
      <x:c r="F4" s="90" t="str">
        <x:v>Filter returns only selected crew/date range</x:v>
      </x:c>
      <x:c r="G4" s="90" t="str">
        <x:v>Matches expected result</x:v>
      </x:c>
      <x:c r="H4" s="90" t="str">
        <x:v>Pass</x:v>
      </x:c>
      <x:c r="I4" s="90" t="str">
        <x:v>Navid Rahman</x:v>
      </x:c>
      <x:c r="J4" s="94" t="n">
        <x:v>46450</x:v>
      </x:c>
      <x:c r="K4" s="90" t="str"/>
      <x:c r="L4" s="90" t="str">
        <x:v>Screenshot / notes (simulated)</x:v>
      </x:c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0" t="str">
        <x:v>UAT-002</x:v>
      </x:c>
      <x:c r="B5" s="90" t="str">
        <x:v>REQ-002</x:v>
      </x:c>
      <x:c r="C5" s="90" t="str">
        <x:v>Validate REQ-002 business outcome</x:v>
      </x:c>
      <x:c r="D5" s="90" t="str">
        <x:v>Test user and sample work records available</x:v>
      </x:c>
      <x:c r="E5" s="90" t="str">
        <x:v>1. Open application  2. Complete workflow  3. Compare result to acceptance criteria</x:v>
      </x:c>
      <x:c r="F5" s="90" t="str">
        <x:v>Overdue work is visually identifiable</x:v>
      </x:c>
      <x:c r="G5" s="90" t="str">
        <x:v>Matches expected result</x:v>
      </x:c>
      <x:c r="H5" s="90" t="str">
        <x:v>Pass</x:v>
      </x:c>
      <x:c r="I5" s="90" t="str">
        <x:v>Navid Rahman</x:v>
      </x:c>
      <x:c r="J5" s="94" t="n">
        <x:v>46451</x:v>
      </x:c>
      <x:c r="K5" s="90" t="str"/>
      <x:c r="L5" s="90" t="str">
        <x:v>Screenshot / notes (simulated)</x:v>
      </x:c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90" t="str">
        <x:v>UAT-003</x:v>
      </x:c>
      <x:c r="B6" s="90" t="str">
        <x:v>REQ-003</x:v>
      </x:c>
      <x:c r="C6" s="90" t="str">
        <x:v>Validate REQ-003 business outcome</x:v>
      </x:c>
      <x:c r="D6" s="90" t="str">
        <x:v>Test user and sample work records available</x:v>
      </x:c>
      <x:c r="E6" s="90" t="str">
        <x:v>1. Open application  2. Complete workflow  3. Compare result to acceptance criteria</x:v>
      </x:c>
      <x:c r="F6" s="90" t="str">
        <x:v>CSV contains required fields and correct totals</x:v>
      </x:c>
      <x:c r="G6" s="90" t="str">
        <x:v>Matches expected result</x:v>
      </x:c>
      <x:c r="H6" s="90" t="str">
        <x:v>Pass</x:v>
      </x:c>
      <x:c r="I6" s="90" t="str">
        <x:v>Navid Rahman</x:v>
      </x:c>
      <x:c r="J6" s="94" t="n">
        <x:v>46452</x:v>
      </x:c>
      <x:c r="K6" s="90" t="str"/>
      <x:c r="L6" s="90" t="str">
        <x:v>Screenshot / notes (simulated)</x:v>
      </x:c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90" t="str">
        <x:v>UAT-004</x:v>
      </x:c>
      <x:c r="B7" s="90" t="str">
        <x:v>REQ-004</x:v>
      </x:c>
      <x:c r="C7" s="90" t="str">
        <x:v>Validate REQ-004 business outcome</x:v>
      </x:c>
      <x:c r="D7" s="90" t="str">
        <x:v>Test user and sample work records available</x:v>
      </x:c>
      <x:c r="E7" s="90" t="str">
        <x:v>1. Open application  2. Complete workflow  3. Compare result to acceptance criteria</x:v>
      </x:c>
      <x:c r="F7" s="90" t="str">
        <x:v>User receives actionable error text</x:v>
      </x:c>
      <x:c r="G7" s="90" t="str">
        <x:v>Matches expected result</x:v>
      </x:c>
      <x:c r="H7" s="90" t="str">
        <x:v>Pass</x:v>
      </x:c>
      <x:c r="I7" s="90" t="str">
        <x:v>Navid Rahman</x:v>
      </x:c>
      <x:c r="J7" s="94" t="n">
        <x:v>46453</x:v>
      </x:c>
      <x:c r="K7" s="90" t="str"/>
      <x:c r="L7" s="90" t="str">
        <x:v>Screenshot / notes (simulated)</x:v>
      </x:c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0" t="str">
        <x:v>UAT-005</x:v>
      </x:c>
      <x:c r="B8" s="90" t="str">
        <x:v>REQ-005</x:v>
      </x:c>
      <x:c r="C8" s="90" t="str">
        <x:v>Validate REQ-005 business outcome</x:v>
      </x:c>
      <x:c r="D8" s="90" t="str">
        <x:v>Test user and sample work records available</x:v>
      </x:c>
      <x:c r="E8" s="90" t="str">
        <x:v>1. Open application  2. Complete workflow  3. Compare result to acceptance criteria</x:v>
      </x:c>
      <x:c r="F8" s="90" t="str">
        <x:v>Dashboard calculates completion rate by district</x:v>
      </x:c>
      <x:c r="G8" s="90" t="str">
        <x:v>Validation failed; issue logged</x:v>
      </x:c>
      <x:c r="H8" s="90" t="str">
        <x:v>Fail</x:v>
      </x:c>
      <x:c r="I8" s="90" t="str">
        <x:v>Navid Rahman</x:v>
      </x:c>
      <x:c r="J8" s="94" t="n">
        <x:v>46454</x:v>
      </x:c>
      <x:c r="K8" s="90" t="str">
        <x:v>ISS-005</x:v>
      </x:c>
      <x:c r="L8" s="90" t="str">
        <x:v>Screenshot / notes (simulated)</x:v>
      </x:c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0" t="str">
        <x:v>UAT-006</x:v>
      </x:c>
      <x:c r="B9" s="90" t="str">
        <x:v>REQ-006</x:v>
      </x:c>
      <x:c r="C9" s="90" t="str">
        <x:v>Validate REQ-006 business outcome</x:v>
      </x:c>
      <x:c r="D9" s="90" t="str">
        <x:v>Test user and sample work records available</x:v>
      </x:c>
      <x:c r="E9" s="90" t="str">
        <x:v>1. Open application  2. Complete workflow  3. Compare result to acceptance criteria</x:v>
      </x:c>
      <x:c r="F9" s="90" t="str">
        <x:v>Guide covers login, search, update, and escalation</x:v>
      </x:c>
      <x:c r="G9" s="90" t="str">
        <x:v>Blocked by dependent fix</x:v>
      </x:c>
      <x:c r="H9" s="90" t="str">
        <x:v>Blocked</x:v>
      </x:c>
      <x:c r="I9" s="90" t="str">
        <x:v>Navid Rahman</x:v>
      </x:c>
      <x:c r="J9" s="94" t="n">
        <x:v>46455</x:v>
      </x:c>
      <x:c r="K9" s="90" t="str">
        <x:v>ISS-006</x:v>
      </x:c>
      <x:c r="L9" s="90" t="str">
        <x:v>Screenshot / notes (simulated)</x:v>
      </x:c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90" t="str">
        <x:v>UAT-007</x:v>
      </x:c>
      <x:c r="B10" s="90" t="str">
        <x:v>REQ-007</x:v>
      </x:c>
      <x:c r="C10" s="90" t="str">
        <x:v>Validate REQ-007 business outcome</x:v>
      </x:c>
      <x:c r="D10" s="90" t="str">
        <x:v>Test user and sample work records available</x:v>
      </x:c>
      <x:c r="E10" s="90" t="str">
        <x:v>1. Open application  2. Complete workflow  3. Compare result to acceptance criteria</x:v>
      </x:c>
      <x:c r="F10" s="90" t="str">
        <x:v>Save blocked when completion code is blank</x:v>
      </x:c>
      <x:c r="G10" s="90" t="str">
        <x:v>Matches expected result</x:v>
      </x:c>
      <x:c r="H10" s="90" t="str">
        <x:v>Pass</x:v>
      </x:c>
      <x:c r="I10" s="90" t="str">
        <x:v>Navid Rahman</x:v>
      </x:c>
      <x:c r="J10" s="94" t="n">
        <x:v>46456</x:v>
      </x:c>
      <x:c r="K10" s="90" t="str"/>
      <x:c r="L10" s="90" t="str">
        <x:v>Screenshot / notes (simulated)</x:v>
      </x:c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0" t="str">
        <x:v>UAT-008</x:v>
      </x:c>
      <x:c r="B11" s="90" t="str">
        <x:v>REQ-008</x:v>
      </x:c>
      <x:c r="C11" s="90" t="str">
        <x:v>Validate REQ-008 business outcome</x:v>
      </x:c>
      <x:c r="D11" s="90" t="str">
        <x:v>Test user and sample work records available</x:v>
      </x:c>
      <x:c r="E11" s="90" t="str">
        <x:v>1. Open application  2. Complete workflow  3. Compare result to acceptance criteria</x:v>
      </x:c>
      <x:c r="F11" s="90" t="str">
        <x:v>Last valid filter loads on next login</x:v>
      </x:c>
      <x:c r="G11" s="90" t="str">
        <x:v>Matches expected result</x:v>
      </x:c>
      <x:c r="H11" s="90" t="str">
        <x:v>Pass</x:v>
      </x:c>
      <x:c r="I11" s="90" t="str">
        <x:v>Navid Rahman</x:v>
      </x:c>
      <x:c r="J11" s="94" t="n">
        <x:v>46457</x:v>
      </x:c>
      <x:c r="K11" s="90" t="str"/>
      <x:c r="L11" s="90" t="str">
        <x:v>Screenshot / notes (simulated)</x:v>
      </x:c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L1"/>
  </x:mergeCells>
  <x:conditionalFormatting sqref="H4:H11">
    <x:cfRule type="expression" dxfId="2" priority="1">
      <x:formula>H4="Pass"</x:formula>
    </x:cfRule>
    <x:cfRule type="expression" dxfId="3" priority="2">
      <x:formula>H4="Fail"</x:formula>
    </x:cfRule>
    <x:cfRule type="expression" dxfId="4" priority="3">
      <x:formula>H4="Blocked"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6" hidden="0" customWidth="1"/>
    <x:col min="5" max="5" width="11" hidden="0" customWidth="1"/>
    <x:col min="6" max="6" width="38" hidden="0" customWidth="1"/>
    <x:col min="7" max="7" width="24" hidden="0" customWidth="1"/>
    <x:col min="8" max="8" width="18" hidden="0" customWidth="1"/>
    <x:col min="9" max="9" width="28" hidden="0" customWidth="1"/>
    <x:col min="10" max="10" width="13" hidden="0" customWidth="1"/>
    <x:col min="11" max="11" width="18" hidden="0" customWidth="1"/>
    <x:col min="12" max="12" width="10" hidden="0" customWidth="1"/>
  </x:cols>
  <x:sheetData>
    <x:row r="1">
      <x:c r="A1" s="5" t="str">
        <x:v>Application Sustainment Issue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22" t="str">
        <x:v>Issue ID</x:v>
      </x:c>
      <x:c r="B3" s="22" t="str">
        <x:v>Opened</x:v>
      </x:c>
      <x:c r="C3" s="22" t="str">
        <x:v>Source</x:v>
      </x:c>
      <x:c r="D3" s="22" t="str">
        <x:v>Category</x:v>
      </x:c>
      <x:c r="E3" s="22" t="str">
        <x:v>Severity</x:v>
      </x:c>
      <x:c r="F3" s="22" t="str">
        <x:v>Description</x:v>
      </x:c>
      <x:c r="G3" s="22" t="str">
        <x:v>Business Impact</x:v>
      </x:c>
      <x:c r="H3" s="22" t="str">
        <x:v>Root Cause</x:v>
      </x:c>
      <x:c r="I3" s="22" t="str">
        <x:v>Resolution</x:v>
      </x:c>
      <x:c r="J3" s="22" t="str">
        <x:v>Status</x:v>
      </x:c>
      <x:c r="K3" s="22" t="str">
        <x:v>Owner</x:v>
      </x:c>
      <x:c r="L3" s="22" t="str">
        <x:v>Days Open</x:v>
      </x:c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90" t="str">
        <x:v>ISS-001</x:v>
      </x:c>
      <x:c r="B4" s="94" t="n">
        <x:v>46459</x:v>
      </x:c>
      <x:c r="C4" s="90" t="str">
        <x:v>End User</x:v>
      </x:c>
      <x:c r="D4" s="90" t="str">
        <x:v>Application Error</x:v>
      </x:c>
      <x:c r="E4" s="90" t="str">
        <x:v>Low</x:v>
      </x:c>
      <x:c r="F4" s="90" t="str">
        <x:v>Simulated application error issue affecting enterprise application workflow</x:v>
      </x:c>
      <x:c r="G4" s="90" t="str">
        <x:v>Workflow interruption</x:v>
      </x:c>
      <x:c r="H4" s="90" t="str">
        <x:v>Configuration</x:v>
      </x:c>
      <x:c r="I4" s="90" t="str">
        <x:v>Fix validated and documented</x:v>
      </x:c>
      <x:c r="J4" s="90" t="str">
        <x:v>Resolved</x:v>
      </x:c>
      <x:c r="K4" s="90" t="str">
        <x:v>Support Team</x:v>
      </x:c>
      <x:c r="L4" s="90" t="n">
        <x:v>5</x:v>
      </x:c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0" t="str">
        <x:v>ISS-002</x:v>
      </x:c>
      <x:c r="B5" s="94" t="n">
        <x:v>46431</x:v>
      </x:c>
      <x:c r="C5" s="90" t="str">
        <x:v>End User</x:v>
      </x:c>
      <x:c r="D5" s="90" t="str">
        <x:v>Sync</x:v>
      </x:c>
      <x:c r="E5" s="90" t="str">
        <x:v>Medium</x:v>
      </x:c>
      <x:c r="F5" s="90" t="str">
        <x:v>Simulated sync issue affecting enterprise application workflow</x:v>
      </x:c>
      <x:c r="G5" s="90" t="str">
        <x:v>Reporting accuracy risk</x:v>
      </x:c>
      <x:c r="H5" s="90" t="str">
        <x:v>Permission</x:v>
      </x:c>
      <x:c r="I5" s="90" t="str">
        <x:v>Fix validated and documented</x:v>
      </x:c>
      <x:c r="J5" s="90" t="str">
        <x:v>Resolved</x:v>
      </x:c>
      <x:c r="K5" s="90" t="str">
        <x:v>Systems Team</x:v>
      </x:c>
      <x:c r="L5" s="90" t="n">
        <x:v>5</x:v>
      </x:c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90" t="str">
        <x:v>ISS-003</x:v>
      </x:c>
      <x:c r="B6" s="94" t="n">
        <x:v>46456</x:v>
      </x:c>
      <x:c r="C6" s="90" t="str">
        <x:v>UAT</x:v>
      </x:c>
      <x:c r="D6" s="90" t="str">
        <x:v>Data Quality</x:v>
      </x:c>
      <x:c r="E6" s="90" t="str">
        <x:v>Low</x:v>
      </x:c>
      <x:c r="F6" s="90" t="str">
        <x:v>Simulated data quality issue affecting enterprise application workflow</x:v>
      </x:c>
      <x:c r="G6" s="90" t="str">
        <x:v>Reporting accuracy risk</x:v>
      </x:c>
      <x:c r="H6" s="90" t="str">
        <x:v>Configuration</x:v>
      </x:c>
      <x:c r="I6" s="90" t="str">
        <x:v>Fix validated and documented</x:v>
      </x:c>
      <x:c r="J6" s="90" t="str">
        <x:v>Resolved</x:v>
      </x:c>
      <x:c r="K6" s="90" t="str">
        <x:v>Systems Team</x:v>
      </x:c>
      <x:c r="L6" s="90" t="n">
        <x:v>1</x:v>
      </x:c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90" t="str">
        <x:v>ISS-004</x:v>
      </x:c>
      <x:c r="B7" s="94" t="n">
        <x:v>46457</x:v>
      </x:c>
      <x:c r="C7" s="90" t="str">
        <x:v>Project Review</x:v>
      </x:c>
      <x:c r="D7" s="90" t="str">
        <x:v>Sync</x:v>
      </x:c>
      <x:c r="E7" s="90" t="str">
        <x:v>High</x:v>
      </x:c>
      <x:c r="F7" s="90" t="str">
        <x:v>Simulated sync issue affecting enterprise application workflow</x:v>
      </x:c>
      <x:c r="G7" s="90" t="str">
        <x:v>Reporting accuracy risk</x:v>
      </x:c>
      <x:c r="H7" s="90" t="str">
        <x:v>Configuration</x:v>
      </x:c>
      <x:c r="I7" s="90" t="str">
        <x:v>Fix validated and documented</x:v>
      </x:c>
      <x:c r="J7" s="90" t="str">
        <x:v>Resolved</x:v>
      </x:c>
      <x:c r="K7" s="90" t="str">
        <x:v>Business Analyst</x:v>
      </x:c>
      <x:c r="L7" s="90" t="n">
        <x:v>4</x:v>
      </x:c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0" t="str">
        <x:v>ISS-005</x:v>
      </x:c>
      <x:c r="B8" s="94" t="n">
        <x:v>46428</x:v>
      </x:c>
      <x:c r="C8" s="90" t="str">
        <x:v>UAT</x:v>
      </x:c>
      <x:c r="D8" s="90" t="str">
        <x:v>Application Error</x:v>
      </x:c>
      <x:c r="E8" s="90" t="str">
        <x:v>High</x:v>
      </x:c>
      <x:c r="F8" s="90" t="str">
        <x:v>Simulated application error issue affecting enterprise application workflow</x:v>
      </x:c>
      <x:c r="G8" s="90" t="str">
        <x:v>Multiple users affected</x:v>
      </x:c>
      <x:c r="H8" s="90" t="str">
        <x:v>Integration</x:v>
      </x:c>
      <x:c r="I8" s="90" t="str">
        <x:v>Fix validated and documented</x:v>
      </x:c>
      <x:c r="J8" s="90" t="str">
        <x:v>Resolved</x:v>
      </x:c>
      <x:c r="K8" s="90" t="str">
        <x:v>Support Team</x:v>
      </x:c>
      <x:c r="L8" s="90" t="n">
        <x:v>6</x:v>
      </x:c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0" t="str">
        <x:v>ISS-006</x:v>
      </x:c>
      <x:c r="B9" s="94" t="n">
        <x:v>46440</x:v>
      </x:c>
      <x:c r="C9" s="90" t="str">
        <x:v>Monitoring</x:v>
      </x:c>
      <x:c r="D9" s="90" t="str">
        <x:v>Performance</x:v>
      </x:c>
      <x:c r="E9" s="90" t="str">
        <x:v>Medium</x:v>
      </x:c>
      <x:c r="F9" s="90" t="str">
        <x:v>Simulated performance issue affecting enterprise application workflow</x:v>
      </x:c>
      <x:c r="G9" s="90" t="str">
        <x:v>Reporting accuracy risk</x:v>
      </x:c>
      <x:c r="H9" s="90" t="str">
        <x:v>Data Mapping</x:v>
      </x:c>
      <x:c r="I9" s="90" t="str">
        <x:v>Fix validated and documented</x:v>
      </x:c>
      <x:c r="J9" s="90" t="str">
        <x:v>Resolved</x:v>
      </x:c>
      <x:c r="K9" s="90" t="str">
        <x:v>Reporting Team</x:v>
      </x:c>
      <x:c r="L9" s="90" t="n">
        <x:v>5</x:v>
      </x:c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90" t="str">
        <x:v>ISS-007</x:v>
      </x:c>
      <x:c r="B10" s="94" t="n">
        <x:v>46449</x:v>
      </x:c>
      <x:c r="C10" s="90" t="str">
        <x:v>Project Review</x:v>
      </x:c>
      <x:c r="D10" s="90" t="str">
        <x:v>Data Quality</x:v>
      </x:c>
      <x:c r="E10" s="90" t="str">
        <x:v>High</x:v>
      </x:c>
      <x:c r="F10" s="90" t="str">
        <x:v>Simulated data quality issue affecting enterprise application workflow</x:v>
      </x:c>
      <x:c r="G10" s="90" t="str">
        <x:v>Workflow interruption</x:v>
      </x:c>
      <x:c r="H10" s="90" t="str">
        <x:v>Integration</x:v>
      </x:c>
      <x:c r="I10" s="90" t="str">
        <x:v>Investigation in progress</x:v>
      </x:c>
      <x:c r="J10" s="90" t="str">
        <x:v>In Progress</x:v>
      </x:c>
      <x:c r="K10" s="90" t="str">
        <x:v>Reporting Team</x:v>
      </x:c>
      <x:c r="L10" s="90" t="n">
        <x:v>8</x:v>
      </x:c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0" t="str">
        <x:v>ISS-008</x:v>
      </x:c>
      <x:c r="B11" s="94" t="n">
        <x:v>46451</x:v>
      </x:c>
      <x:c r="C11" s="90" t="str">
        <x:v>UAT</x:v>
      </x:c>
      <x:c r="D11" s="90" t="str">
        <x:v>Performance</x:v>
      </x:c>
      <x:c r="E11" s="90" t="str">
        <x:v>Medium</x:v>
      </x:c>
      <x:c r="F11" s="90" t="str">
        <x:v>Simulated performance issue affecting enterprise application workflow</x:v>
      </x:c>
      <x:c r="G11" s="90" t="str">
        <x:v>Multiple users affected</x:v>
      </x:c>
      <x:c r="H11" s="90" t="str">
        <x:v>Integration</x:v>
      </x:c>
      <x:c r="I11" s="90" t="str">
        <x:v>Investigation in progress</x:v>
      </x:c>
      <x:c r="J11" s="90" t="str">
        <x:v>In Progress</x:v>
      </x:c>
      <x:c r="K11" s="90" t="str">
        <x:v>Business Analyst</x:v>
      </x:c>
      <x:c r="L11" s="90" t="n">
        <x:v>2</x:v>
      </x:c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90" t="str">
        <x:v>ISS-009</x:v>
      </x:c>
      <x:c r="B12" s="94" t="n">
        <x:v>46457</x:v>
      </x:c>
      <x:c r="C12" s="90" t="str">
        <x:v>End User</x:v>
      </x:c>
      <x:c r="D12" s="90" t="str">
        <x:v>Access</x:v>
      </x:c>
      <x:c r="E12" s="90" t="str">
        <x:v>High</x:v>
      </x:c>
      <x:c r="F12" s="90" t="str">
        <x:v>Simulated access issue affecting enterprise application workflow</x:v>
      </x:c>
      <x:c r="G12" s="90" t="str">
        <x:v>Workflow interruption</x:v>
      </x:c>
      <x:c r="H12" s="90" t="str">
        <x:v>Unknown</x:v>
      </x:c>
      <x:c r="I12" s="90" t="str">
        <x:v>Fix validated and documented</x:v>
      </x:c>
      <x:c r="J12" s="90" t="str">
        <x:v>Resolved</x:v>
      </x:c>
      <x:c r="K12" s="90" t="str">
        <x:v>Business Analyst</x:v>
      </x:c>
      <x:c r="L12" s="90" t="n">
        <x:v>3</x:v>
      </x:c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90" t="str">
        <x:v>ISS-010</x:v>
      </x:c>
      <x:c r="B13" s="94" t="n">
        <x:v>46451</x:v>
      </x:c>
      <x:c r="C13" s="90" t="str">
        <x:v>UAT</x:v>
      </x:c>
      <x:c r="D13" s="90" t="str">
        <x:v>Data Quality</x:v>
      </x:c>
      <x:c r="E13" s="90" t="str">
        <x:v>Medium</x:v>
      </x:c>
      <x:c r="F13" s="90" t="str">
        <x:v>Simulated data quality issue affecting enterprise application workflow</x:v>
      </x:c>
      <x:c r="G13" s="90" t="str">
        <x:v>Multiple users affected</x:v>
      </x:c>
      <x:c r="H13" s="90" t="str">
        <x:v>Unknown</x:v>
      </x:c>
      <x:c r="I13" s="90" t="str">
        <x:v>Fix validated and documented</x:v>
      </x:c>
      <x:c r="J13" s="90" t="str">
        <x:v>Resolved</x:v>
      </x:c>
      <x:c r="K13" s="90" t="str">
        <x:v>Systems Team</x:v>
      </x:c>
      <x:c r="L13" s="90" t="n">
        <x:v>5</x:v>
      </x:c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90" t="str">
        <x:v>ISS-011</x:v>
      </x:c>
      <x:c r="B14" s="94" t="n">
        <x:v>46433</x:v>
      </x:c>
      <x:c r="C14" s="90" t="str">
        <x:v>Monitoring</x:v>
      </x:c>
      <x:c r="D14" s="90" t="str">
        <x:v>Sync</x:v>
      </x:c>
      <x:c r="E14" s="90" t="str">
        <x:v>Low</x:v>
      </x:c>
      <x:c r="F14" s="90" t="str">
        <x:v>Simulated sync issue affecting enterprise application workflow</x:v>
      </x:c>
      <x:c r="G14" s="90" t="str">
        <x:v>Minor user delay</x:v>
      </x:c>
      <x:c r="H14" s="90" t="str">
        <x:v>Unknown</x:v>
      </x:c>
      <x:c r="I14" s="90" t="str">
        <x:v>Fix validated and documented</x:v>
      </x:c>
      <x:c r="J14" s="90" t="str">
        <x:v>Resolved</x:v>
      </x:c>
      <x:c r="K14" s="90" t="str">
        <x:v>Support Team</x:v>
      </x:c>
      <x:c r="L14" s="90" t="n">
        <x:v>3</x:v>
      </x:c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90" t="str">
        <x:v>ISS-012</x:v>
      </x:c>
      <x:c r="B15" s="94" t="n">
        <x:v>46426</x:v>
      </x:c>
      <x:c r="C15" s="90" t="str">
        <x:v>UAT</x:v>
      </x:c>
      <x:c r="D15" s="90" t="str">
        <x:v>Data Quality</x:v>
      </x:c>
      <x:c r="E15" s="90" t="str">
        <x:v>High</x:v>
      </x:c>
      <x:c r="F15" s="90" t="str">
        <x:v>Simulated data quality issue affecting enterprise application workflow</x:v>
      </x:c>
      <x:c r="G15" s="90" t="str">
        <x:v>Reporting accuracy risk</x:v>
      </x:c>
      <x:c r="H15" s="90" t="str">
        <x:v>Data Mapping</x:v>
      </x:c>
      <x:c r="I15" s="90" t="str">
        <x:v>Fix validated and documented</x:v>
      </x:c>
      <x:c r="J15" s="90" t="str">
        <x:v>Resolved</x:v>
      </x:c>
      <x:c r="K15" s="90" t="str">
        <x:v>Reporting Team</x:v>
      </x:c>
      <x:c r="L15" s="90" t="n">
        <x:v>6</x:v>
      </x:c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90" t="str">
        <x:v>ISS-013</x:v>
      </x:c>
      <x:c r="B16" s="94" t="n">
        <x:v>46440</x:v>
      </x:c>
      <x:c r="C16" s="90" t="str">
        <x:v>End User</x:v>
      </x:c>
      <x:c r="D16" s="90" t="str">
        <x:v>Access</x:v>
      </x:c>
      <x:c r="E16" s="90" t="str">
        <x:v>Medium</x:v>
      </x:c>
      <x:c r="F16" s="90" t="str">
        <x:v>Simulated access issue affecting enterprise application workflow</x:v>
      </x:c>
      <x:c r="G16" s="90" t="str">
        <x:v>Multiple users affected</x:v>
      </x:c>
      <x:c r="H16" s="90" t="str">
        <x:v>Validation Gap</x:v>
      </x:c>
      <x:c r="I16" s="90" t="str">
        <x:v>Fix validated and documented</x:v>
      </x:c>
      <x:c r="J16" s="90" t="str">
        <x:v>Resolved</x:v>
      </x:c>
      <x:c r="K16" s="90" t="str">
        <x:v>Reporting Team</x:v>
      </x:c>
      <x:c r="L16" s="90" t="n">
        <x:v>6</x:v>
      </x:c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90" t="str">
        <x:v>ISS-014</x:v>
      </x:c>
      <x:c r="B17" s="94" t="n">
        <x:v>46447</x:v>
      </x:c>
      <x:c r="C17" s="90" t="str">
        <x:v>Project Review</x:v>
      </x:c>
      <x:c r="D17" s="90" t="str">
        <x:v>Performance</x:v>
      </x:c>
      <x:c r="E17" s="90" t="str">
        <x:v>Medium</x:v>
      </x:c>
      <x:c r="F17" s="90" t="str">
        <x:v>Simulated performance issue affecting enterprise application workflow</x:v>
      </x:c>
      <x:c r="G17" s="90" t="str">
        <x:v>Reporting accuracy risk</x:v>
      </x:c>
      <x:c r="H17" s="90" t="str">
        <x:v>Integration</x:v>
      </x:c>
      <x:c r="I17" s="90" t="str">
        <x:v>Fix validated and documented</x:v>
      </x:c>
      <x:c r="J17" s="90" t="str">
        <x:v>Resolved</x:v>
      </x:c>
      <x:c r="K17" s="90" t="str">
        <x:v>Business Analyst</x:v>
      </x:c>
      <x:c r="L17" s="90" t="n">
        <x:v>4</x:v>
      </x:c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90" t="str">
        <x:v>ISS-015</x:v>
      </x:c>
      <x:c r="B18" s="94" t="n">
        <x:v>46446</x:v>
      </x:c>
      <x:c r="C18" s="90" t="str">
        <x:v>End User</x:v>
      </x:c>
      <x:c r="D18" s="90" t="str">
        <x:v>Reporting</x:v>
      </x:c>
      <x:c r="E18" s="90" t="str">
        <x:v>High</x:v>
      </x:c>
      <x:c r="F18" s="90" t="str">
        <x:v>Simulated reporting issue affecting enterprise application workflow</x:v>
      </x:c>
      <x:c r="G18" s="90" t="str">
        <x:v>Reporting accuracy risk</x:v>
      </x:c>
      <x:c r="H18" s="90" t="str">
        <x:v>Unknown</x:v>
      </x:c>
      <x:c r="I18" s="90" t="str">
        <x:v>Fix validated and documented</x:v>
      </x:c>
      <x:c r="J18" s="90" t="str">
        <x:v>Resolved</x:v>
      </x:c>
      <x:c r="K18" s="90" t="str">
        <x:v>Reporting Team</x:v>
      </x:c>
      <x:c r="L18" s="90" t="n">
        <x:v>3</x:v>
      </x:c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90" t="str">
        <x:v>ISS-016</x:v>
      </x:c>
      <x:c r="B19" s="94" t="n">
        <x:v>46449</x:v>
      </x:c>
      <x:c r="C19" s="90" t="str">
        <x:v>UAT</x:v>
      </x:c>
      <x:c r="D19" s="90" t="str">
        <x:v>Application Error</x:v>
      </x:c>
      <x:c r="E19" s="90" t="str">
        <x:v>Medium</x:v>
      </x:c>
      <x:c r="F19" s="90" t="str">
        <x:v>Simulated application error issue affecting enterprise application workflow</x:v>
      </x:c>
      <x:c r="G19" s="90" t="str">
        <x:v>Minor user delay</x:v>
      </x:c>
      <x:c r="H19" s="90" t="str">
        <x:v>Unknown</x:v>
      </x:c>
      <x:c r="I19" s="90" t="str">
        <x:v>Fix validated and documented</x:v>
      </x:c>
      <x:c r="J19" s="90" t="str">
        <x:v>Resolved</x:v>
      </x:c>
      <x:c r="K19" s="90" t="str">
        <x:v>Systems Team</x:v>
      </x:c>
      <x:c r="L19" s="90" t="n">
        <x:v>3</x:v>
      </x:c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90" t="str">
        <x:v>ISS-017</x:v>
      </x:c>
      <x:c r="B20" s="94" t="n">
        <x:v>46458</x:v>
      </x:c>
      <x:c r="C20" s="90" t="str">
        <x:v>End User</x:v>
      </x:c>
      <x:c r="D20" s="90" t="str">
        <x:v>Performance</x:v>
      </x:c>
      <x:c r="E20" s="90" t="str">
        <x:v>High</x:v>
      </x:c>
      <x:c r="F20" s="90" t="str">
        <x:v>Simulated performance issue affecting enterprise application workflow</x:v>
      </x:c>
      <x:c r="G20" s="90" t="str">
        <x:v>Multiple users affected</x:v>
      </x:c>
      <x:c r="H20" s="90" t="str">
        <x:v>Permission</x:v>
      </x:c>
      <x:c r="I20" s="90" t="str">
        <x:v>Fix validated and documented</x:v>
      </x:c>
      <x:c r="J20" s="90" t="str">
        <x:v>Resolved</x:v>
      </x:c>
      <x:c r="K20" s="90" t="str">
        <x:v>Reporting Team</x:v>
      </x:c>
      <x:c r="L20" s="90" t="n">
        <x:v>4</x:v>
      </x:c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90" t="str">
        <x:v>ISS-018</x:v>
      </x:c>
      <x:c r="B21" s="94" t="n">
        <x:v>46450</x:v>
      </x:c>
      <x:c r="C21" s="90" t="str">
        <x:v>End User</x:v>
      </x:c>
      <x:c r="D21" s="90" t="str">
        <x:v>Application Error</x:v>
      </x:c>
      <x:c r="E21" s="90" t="str">
        <x:v>Medium</x:v>
      </x:c>
      <x:c r="F21" s="90" t="str">
        <x:v>Simulated application error issue affecting enterprise application workflow</x:v>
      </x:c>
      <x:c r="G21" s="90" t="str">
        <x:v>Reporting accuracy risk</x:v>
      </x:c>
      <x:c r="H21" s="90" t="str">
        <x:v>Integration</x:v>
      </x:c>
      <x:c r="I21" s="90" t="str">
        <x:v>Fix validated and documented</x:v>
      </x:c>
      <x:c r="J21" s="90" t="str">
        <x:v>Resolved</x:v>
      </x:c>
      <x:c r="K21" s="90" t="str">
        <x:v>Reporting Team</x:v>
      </x:c>
      <x:c r="L21" s="90" t="n">
        <x:v>1</x:v>
      </x:c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90" t="str">
        <x:v>ISS-019</x:v>
      </x:c>
      <x:c r="B22" s="94" t="n">
        <x:v>46454</x:v>
      </x:c>
      <x:c r="C22" s="90" t="str">
        <x:v>Project Review</x:v>
      </x:c>
      <x:c r="D22" s="90" t="str">
        <x:v>Reporting</x:v>
      </x:c>
      <x:c r="E22" s="90" t="str">
        <x:v>Low</x:v>
      </x:c>
      <x:c r="F22" s="90" t="str">
        <x:v>Simulated reporting issue affecting enterprise application workflow</x:v>
      </x:c>
      <x:c r="G22" s="90" t="str">
        <x:v>Reporting accuracy risk</x:v>
      </x:c>
      <x:c r="H22" s="90" t="str">
        <x:v>Data Mapping</x:v>
      </x:c>
      <x:c r="I22" s="90" t="str">
        <x:v>Fix validated and documented</x:v>
      </x:c>
      <x:c r="J22" s="90" t="str">
        <x:v>Resolved</x:v>
      </x:c>
      <x:c r="K22" s="90" t="str">
        <x:v>Support Team</x:v>
      </x:c>
      <x:c r="L22" s="90" t="n">
        <x:v>3</x:v>
      </x:c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90" t="str">
        <x:v>ISS-020</x:v>
      </x:c>
      <x:c r="B23" s="94" t="n">
        <x:v>46443</x:v>
      </x:c>
      <x:c r="C23" s="90" t="str">
        <x:v>UAT</x:v>
      </x:c>
      <x:c r="D23" s="90" t="str">
        <x:v>Application Error</x:v>
      </x:c>
      <x:c r="E23" s="90" t="str">
        <x:v>High</x:v>
      </x:c>
      <x:c r="F23" s="90" t="str">
        <x:v>Simulated application error issue affecting enterprise application workflow</x:v>
      </x:c>
      <x:c r="G23" s="90" t="str">
        <x:v>Reporting accuracy risk</x:v>
      </x:c>
      <x:c r="H23" s="90" t="str">
        <x:v>Permission</x:v>
      </x:c>
      <x:c r="I23" s="90" t="str">
        <x:v>Pending triage</x:v>
      </x:c>
      <x:c r="J23" s="90" t="str">
        <x:v>Open</x:v>
      </x:c>
      <x:c r="K23" s="90" t="str">
        <x:v>Business Analyst</x:v>
      </x:c>
      <x:c r="L23" s="90" t="n">
        <x:v>10</x:v>
      </x:c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90" t="str">
        <x:v>ISS-021</x:v>
      </x:c>
      <x:c r="B24" s="94" t="n">
        <x:v>46456</x:v>
      </x:c>
      <x:c r="C24" s="90" t="str">
        <x:v>Project Review</x:v>
      </x:c>
      <x:c r="D24" s="90" t="str">
        <x:v>Reporting</x:v>
      </x:c>
      <x:c r="E24" s="90" t="str">
        <x:v>High</x:v>
      </x:c>
      <x:c r="F24" s="90" t="str">
        <x:v>Simulated reporting issue affecting enterprise application workflow</x:v>
      </x:c>
      <x:c r="G24" s="90" t="str">
        <x:v>Reporting accuracy risk</x:v>
      </x:c>
      <x:c r="H24" s="90" t="str">
        <x:v>Permission</x:v>
      </x:c>
      <x:c r="I24" s="90" t="str">
        <x:v>Fix validated and documented</x:v>
      </x:c>
      <x:c r="J24" s="90" t="str">
        <x:v>Resolved</x:v>
      </x:c>
      <x:c r="K24" s="90" t="str">
        <x:v>Business Analyst</x:v>
      </x:c>
      <x:c r="L24" s="90" t="n">
        <x:v>3</x:v>
      </x:c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90" t="str">
        <x:v>ISS-022</x:v>
      </x:c>
      <x:c r="B25" s="94" t="n">
        <x:v>46425</x:v>
      </x:c>
      <x:c r="C25" s="90" t="str">
        <x:v>Project Review</x:v>
      </x:c>
      <x:c r="D25" s="90" t="str">
        <x:v>Reporting</x:v>
      </x:c>
      <x:c r="E25" s="90" t="str">
        <x:v>Low</x:v>
      </x:c>
      <x:c r="F25" s="90" t="str">
        <x:v>Simulated reporting issue affecting enterprise application workflow</x:v>
      </x:c>
      <x:c r="G25" s="90" t="str">
        <x:v>Minor user delay</x:v>
      </x:c>
      <x:c r="H25" s="90" t="str">
        <x:v>Validation Gap</x:v>
      </x:c>
      <x:c r="I25" s="90" t="str">
        <x:v>Investigation in progress</x:v>
      </x:c>
      <x:c r="J25" s="90" t="str">
        <x:v>In Progress</x:v>
      </x:c>
      <x:c r="K25" s="90" t="str">
        <x:v>Systems Team</x:v>
      </x:c>
      <x:c r="L25" s="90" t="n">
        <x:v>7</x:v>
      </x:c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90" t="str">
        <x:v>ISS-023</x:v>
      </x:c>
      <x:c r="B26" s="94" t="n">
        <x:v>46421</x:v>
      </x:c>
      <x:c r="C26" s="90" t="str">
        <x:v>Monitoring</x:v>
      </x:c>
      <x:c r="D26" s="90" t="str">
        <x:v>Data Quality</x:v>
      </x:c>
      <x:c r="E26" s="90" t="str">
        <x:v>Medium</x:v>
      </x:c>
      <x:c r="F26" s="90" t="str">
        <x:v>Simulated data quality issue affecting enterprise application workflow</x:v>
      </x:c>
      <x:c r="G26" s="90" t="str">
        <x:v>Workflow interruption</x:v>
      </x:c>
      <x:c r="H26" s="90" t="str">
        <x:v>Integration</x:v>
      </x:c>
      <x:c r="I26" s="90" t="str">
        <x:v>Fix validated and documented</x:v>
      </x:c>
      <x:c r="J26" s="90" t="str">
        <x:v>Resolved</x:v>
      </x:c>
      <x:c r="K26" s="90" t="str">
        <x:v>Business Analyst</x:v>
      </x:c>
      <x:c r="L26" s="90" t="n">
        <x:v>5</x:v>
      </x:c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90" t="str">
        <x:v>ISS-024</x:v>
      </x:c>
      <x:c r="B27" s="94" t="n">
        <x:v>46435</x:v>
      </x:c>
      <x:c r="C27" s="90" t="str">
        <x:v>End User</x:v>
      </x:c>
      <x:c r="D27" s="90" t="str">
        <x:v>Data Quality</x:v>
      </x:c>
      <x:c r="E27" s="90" t="str">
        <x:v>Medium</x:v>
      </x:c>
      <x:c r="F27" s="90" t="str">
        <x:v>Simulated data quality issue affecting enterprise application workflow</x:v>
      </x:c>
      <x:c r="G27" s="90" t="str">
        <x:v>Workflow interruption</x:v>
      </x:c>
      <x:c r="H27" s="90" t="str">
        <x:v>Data Mapping</x:v>
      </x:c>
      <x:c r="I27" s="90" t="str">
        <x:v>Fix validated and documented</x:v>
      </x:c>
      <x:c r="J27" s="90" t="str">
        <x:v>Resolved</x:v>
      </x:c>
      <x:c r="K27" s="90" t="str">
        <x:v>Reporting Team</x:v>
      </x:c>
      <x:c r="L27" s="90" t="n">
        <x:v>6</x:v>
      </x:c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90" t="str">
        <x:v>ISS-025</x:v>
      </x:c>
      <x:c r="B28" s="94" t="n">
        <x:v>46456</x:v>
      </x:c>
      <x:c r="C28" s="90" t="str">
        <x:v>Project Review</x:v>
      </x:c>
      <x:c r="D28" s="90" t="str">
        <x:v>Application Error</x:v>
      </x:c>
      <x:c r="E28" s="90" t="str">
        <x:v>Medium</x:v>
      </x:c>
      <x:c r="F28" s="90" t="str">
        <x:v>Simulated application error issue affecting enterprise application workflow</x:v>
      </x:c>
      <x:c r="G28" s="90" t="str">
        <x:v>Multiple users affected</x:v>
      </x:c>
      <x:c r="H28" s="90" t="str">
        <x:v>Integration</x:v>
      </x:c>
      <x:c r="I28" s="90" t="str">
        <x:v>Fix validated and documented</x:v>
      </x:c>
      <x:c r="J28" s="90" t="str">
        <x:v>Resolved</x:v>
      </x:c>
      <x:c r="K28" s="90" t="str">
        <x:v>Systems Team</x:v>
      </x:c>
      <x:c r="L28" s="90" t="n">
        <x:v>6</x:v>
      </x:c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L1"/>
  </x:mergeCells>
  <x:conditionalFormatting sqref="E4:E28">
    <x:cfRule type="expression" dxfId="5" priority="1">
      <x:formula>E4="Critical"</x:formula>
    </x:cfRule>
    <x:cfRule type="expression" dxfId="6" priority="2">
      <x:formula>E4="High"</x:formula>
    </x:cfRule>
  </x:conditionalFormatting>
  <x:conditionalFormatting sqref="J4:J28">
    <x:cfRule type="expression" dxfId="7" priority="3">
      <x:formula>J4="Resolved"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2" hidden="0" customWidth="1"/>
    <x:col min="4" max="4" width="24" hidden="0" customWidth="1"/>
    <x:col min="5" max="5" width="10" hidden="0" customWidth="1"/>
    <x:col min="6" max="6" width="13" hidden="0" customWidth="1"/>
    <x:col min="7" max="7" width="24" hidden="0" customWidth="1"/>
    <x:col min="8" max="8" width="15" hidden="0" customWidth="1"/>
    <x:col min="9" max="9" width="28" hidden="0" customWidth="1"/>
    <x:col min="10" max="10" width="18" hidden="0" customWidth="1"/>
    <x:col min="11" max="11" width="12" hidden="0" customWidth="1"/>
  </x:cols>
  <x:sheetData>
    <x:row r="1">
      <x:c r="A1" s="5" t="str">
        <x:v>System Enhancement &amp; Change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22" t="str">
        <x:v>Change ID</x:v>
      </x:c>
      <x:c r="B3" s="22" t="str">
        <x:v>Title</x:v>
      </x:c>
      <x:c r="C3" s="22" t="str">
        <x:v>Linked Req</x:v>
      </x:c>
      <x:c r="D3" s="22" t="str">
        <x:v>Impact</x:v>
      </x:c>
      <x:c r="E3" s="22" t="str">
        <x:v>Risk</x:v>
      </x:c>
      <x:c r="F3" s="22" t="str">
        <x:v>Test Status</x:v>
      </x:c>
      <x:c r="G3" s="22" t="str">
        <x:v>Communication</x:v>
      </x:c>
      <x:c r="H3" s="22" t="str">
        <x:v>Implementation</x:v>
      </x:c>
      <x:c r="I3" s="22" t="str">
        <x:v>Rollback</x:v>
      </x:c>
      <x:c r="J3" s="22" t="str">
        <x:v>Owner</x:v>
      </x:c>
      <x:c r="K3" s="22" t="str">
        <x:v>Status</x:v>
      </x:c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90" t="str">
        <x:v>CHG-001</x:v>
      </x:c>
      <x:c r="B4" s="90" t="str">
        <x:v>Field workflow usability update</x:v>
      </x:c>
      <x:c r="C4" s="90" t="str">
        <x:v>REQ-001; REQ-002; REQ-006</x:v>
      </x:c>
      <x:c r="D4" s="90" t="str">
        <x:v>Field supervisors and users</x:v>
      </x:c>
      <x:c r="E4" s="90" t="str">
        <x:v>Medium</x:v>
      </x:c>
      <x:c r="F4" s="90" t="str">
        <x:v>Pass</x:v>
      </x:c>
      <x:c r="G4" s="90" t="str">
        <x:v>Job aid + team notice</x:v>
      </x:c>
      <x:c r="H4" s="90" t="str">
        <x:v>2027-03-15</x:v>
      </x:c>
      <x:c r="I4" s="90" t="str">
        <x:v>Restore prior configuration</x:v>
      </x:c>
      <x:c r="J4" s="90" t="str">
        <x:v>Systems Team</x:v>
      </x:c>
      <x:c r="K4" s="90" t="str">
        <x:v>Ready</x:v>
      </x:c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0" t="str">
        <x:v>CHG-002</x:v>
      </x:c>
      <x:c r="B5" s="90" t="str">
        <x:v>Weekly report export</x:v>
      </x:c>
      <x:c r="C5" s="90" t="str">
        <x:v>REQ-003</x:v>
      </x:c>
      <x:c r="D5" s="90" t="str">
        <x:v>Schedulers</x:v>
      </x:c>
      <x:c r="E5" s="90" t="str">
        <x:v>Low</x:v>
      </x:c>
      <x:c r="F5" s="90" t="str">
        <x:v>In Testing</x:v>
      </x:c>
      <x:c r="G5" s="90" t="str">
        <x:v>Release note</x:v>
      </x:c>
      <x:c r="H5" s="90" t="str">
        <x:v>2027-03-20</x:v>
      </x:c>
      <x:c r="I5" s="90" t="str">
        <x:v>Disable export option</x:v>
      </x:c>
      <x:c r="J5" s="90" t="str">
        <x:v>Reporting Team</x:v>
      </x:c>
      <x:c r="K5" s="90" t="str">
        <x:v>Testing</x:v>
      </x:c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90" t="str">
        <x:v>CHG-003</x:v>
      </x:c>
      <x:c r="B6" s="90" t="str">
        <x:v>Sync error messaging</x:v>
      </x:c>
      <x:c r="C6" s="90" t="str">
        <x:v>REQ-004</x:v>
      </x:c>
      <x:c r="D6" s="90" t="str">
        <x:v>All field users</x:v>
      </x:c>
      <x:c r="E6" s="90" t="str">
        <x:v>Low</x:v>
      </x:c>
      <x:c r="F6" s="90" t="str">
        <x:v>Pass</x:v>
      </x:c>
      <x:c r="G6" s="90" t="str">
        <x:v>KB update</x:v>
      </x:c>
      <x:c r="H6" s="90" t="str">
        <x:v>2027-03-18</x:v>
      </x:c>
      <x:c r="I6" s="90" t="str">
        <x:v>Restore previous message</x:v>
      </x:c>
      <x:c r="J6" s="90" t="str">
        <x:v>Support Team</x:v>
      </x:c>
      <x:c r="K6" s="90" t="str">
        <x:v>Ready</x:v>
      </x:c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90" t="str">
        <x:v>CHG-004</x:v>
      </x:c>
      <x:c r="B7" s="90" t="str">
        <x:v>District completion KPI</x:v>
      </x:c>
      <x:c r="C7" s="90" t="str">
        <x:v>REQ-005</x:v>
      </x:c>
      <x:c r="D7" s="90" t="str">
        <x:v>Operations managers</x:v>
      </x:c>
      <x:c r="E7" s="90" t="str">
        <x:v>Medium</x:v>
      </x:c>
      <x:c r="F7" s="90" t="str">
        <x:v>In Testing</x:v>
      </x:c>
      <x:c r="G7" s="90" t="str">
        <x:v>Dashboard note</x:v>
      </x:c>
      <x:c r="H7" s="90" t="str">
        <x:v>2027-03-22</x:v>
      </x:c>
      <x:c r="I7" s="90" t="str">
        <x:v>Hide new KPI</x:v>
      </x:c>
      <x:c r="J7" s="90" t="str">
        <x:v>Reporting Team</x:v>
      </x:c>
      <x:c r="K7" s="90" t="str">
        <x:v>Testing</x:v>
      </x:c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0" t="str">
        <x:v>CHG-005</x:v>
      </x:c>
      <x:c r="B8" s="90" t="str">
        <x:v>Completion-code validation</x:v>
      </x:c>
      <x:c r="C8" s="90" t="str">
        <x:v>REQ-007</x:v>
      </x:c>
      <x:c r="D8" s="90" t="str">
        <x:v>Field users / reporting</x:v>
      </x:c>
      <x:c r="E8" s="90" t="str">
        <x:v>High</x:v>
      </x:c>
      <x:c r="F8" s="90" t="str">
        <x:v>Pass</x:v>
      </x:c>
      <x:c r="G8" s="90" t="str">
        <x:v>Training note</x:v>
      </x:c>
      <x:c r="H8" s="90" t="str">
        <x:v>2027-03-16</x:v>
      </x:c>
      <x:c r="I8" s="90" t="str">
        <x:v>Disable validation rule</x:v>
      </x:c>
      <x:c r="J8" s="90" t="str">
        <x:v>Systems Team</x:v>
      </x:c>
      <x:c r="K8" s="90" t="str">
        <x:v>Ready</x:v>
      </x:c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0" t="str">
        <x:v>CHG-006</x:v>
      </x:c>
      <x:c r="B9" s="90" t="str">
        <x:v>Persistent user filters</x:v>
      </x:c>
      <x:c r="C9" s="90" t="str">
        <x:v>REQ-008</x:v>
      </x:c>
      <x:c r="D9" s="90" t="str">
        <x:v>Field users</x:v>
      </x:c>
      <x:c r="E9" s="90" t="str">
        <x:v>Low</x:v>
      </x:c>
      <x:c r="F9" s="90" t="str">
        <x:v>Not Started</x:v>
      </x:c>
      <x:c r="G9" s="90" t="str">
        <x:v>TBD</x:v>
      </x:c>
      <x:c r="H9" s="90" t="str">
        <x:v>TBD</x:v>
      </x:c>
      <x:c r="I9" s="90" t="str">
        <x:v>TBD</x:v>
      </x:c>
      <x:c r="J9" s="90" t="str">
        <x:v>Systems Team</x:v>
      </x:c>
      <x:c r="K9" s="90" t="str">
        <x:v>Backlog</x:v>
      </x:c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K1"/>
  </x:mergeCells>
  <x:conditionalFormatting sqref="K4:K9">
    <x:cfRule type="expression" dxfId="8" priority="1">
      <x:formula>K4="Ready"</x:formula>
    </x:cfRule>
    <x:cfRule type="expression" dxfId="9" priority="2">
      <x:formula>K4="Testing"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34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5" t="str">
        <x:v>User Documentation &amp; Training Tracker</x:v>
      </x:c>
      <x:c r="B1" s="5"/>
      <x:c r="C1" s="5"/>
      <x:c r="D1" s="5"/>
      <x:c r="E1" s="5"/>
      <x:c r="F1" s="5"/>
      <x:c r="G1" s="5"/>
      <x:c r="H1" s="5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22" t="str">
        <x:v>Doc ID</x:v>
      </x:c>
      <x:c r="B3" s="22" t="str">
        <x:v>Document</x:v>
      </x:c>
      <x:c r="C3" s="22" t="str">
        <x:v>Audience</x:v>
      </x:c>
      <x:c r="D3" s="22" t="str">
        <x:v>Purpose</x:v>
      </x:c>
      <x:c r="E3" s="22" t="str">
        <x:v>Owner</x:v>
      </x:c>
      <x:c r="F3" s="22" t="str">
        <x:v>Status</x:v>
      </x:c>
      <x:c r="G3" s="22" t="str">
        <x:v>Last Updated</x:v>
      </x:c>
      <x:c r="H3" s="22" t="str">
        <x:v>Linked Change</x:v>
      </x:c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90" t="str">
        <x:v>DOC-001</x:v>
      </x:c>
      <x:c r="B4" s="90" t="str">
        <x:v>Field Work Search Quick Guide</x:v>
      </x:c>
      <x:c r="C4" s="90" t="str">
        <x:v>Field users</x:v>
      </x:c>
      <x:c r="D4" s="90" t="str">
        <x:v>Explain search/filter workflow</x:v>
      </x:c>
      <x:c r="E4" s="90" t="str">
        <x:v>Business Analyst</x:v>
      </x:c>
      <x:c r="F4" s="90" t="str">
        <x:v>Complete</x:v>
      </x:c>
      <x:c r="G4" s="94" t="n">
        <x:v>46456</x:v>
      </x:c>
      <x:c r="H4" s="90" t="str">
        <x:v>CHG-001</x:v>
      </x:c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0" t="str">
        <x:v>DOC-002</x:v>
      </x:c>
      <x:c r="B5" s="90" t="str">
        <x:v>Supervisor Daily Planning Job Aid</x:v>
      </x:c>
      <x:c r="C5" s="90" t="str">
        <x:v>Supervisors</x:v>
      </x:c>
      <x:c r="D5" s="90" t="str">
        <x:v>Summarize filtering and overdue work</x:v>
      </x:c>
      <x:c r="E5" s="90" t="str">
        <x:v>Business Analyst</x:v>
      </x:c>
      <x:c r="F5" s="90" t="str">
        <x:v>Complete</x:v>
      </x:c>
      <x:c r="G5" s="94" t="n">
        <x:v>46457</x:v>
      </x:c>
      <x:c r="H5" s="90" t="str">
        <x:v>CHG-001</x:v>
      </x:c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90" t="str">
        <x:v>DOC-003</x:v>
      </x:c>
      <x:c r="B6" s="90" t="str">
        <x:v>Weekly Export Reference</x:v>
      </x:c>
      <x:c r="C6" s="90" t="str">
        <x:v>Schedulers</x:v>
      </x:c>
      <x:c r="D6" s="90" t="str">
        <x:v>Explain report export and validation</x:v>
      </x:c>
      <x:c r="E6" s="90" t="str">
        <x:v>Reporting Analyst</x:v>
      </x:c>
      <x:c r="F6" s="90" t="str">
        <x:v>Draft</x:v>
      </x:c>
      <x:c r="G6" s="94" t="n">
        <x:v>46458</x:v>
      </x:c>
      <x:c r="H6" s="90" t="str">
        <x:v>CHG-002</x:v>
      </x:c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90" t="str">
        <x:v>DOC-004</x:v>
      </x:c>
      <x:c r="B7" s="90" t="str">
        <x:v>Sync Error Troubleshooting Guide</x:v>
      </x:c>
      <x:c r="C7" s="90" t="str">
        <x:v>End users / support</x:v>
      </x:c>
      <x:c r="D7" s="90" t="str">
        <x:v>Explain user steps and escalation</x:v>
      </x:c>
      <x:c r="E7" s="90" t="str">
        <x:v>Support Lead</x:v>
      </x:c>
      <x:c r="F7" s="90" t="str">
        <x:v>Complete</x:v>
      </x:c>
      <x:c r="G7" s="94" t="n">
        <x:v>46458</x:v>
      </x:c>
      <x:c r="H7" s="90" t="str">
        <x:v>CHG-003</x:v>
      </x:c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0" t="str">
        <x:v>DOC-005</x:v>
      </x:c>
      <x:c r="B8" s="90" t="str">
        <x:v>Completion KPI Definition</x:v>
      </x:c>
      <x:c r="C8" s="90" t="str">
        <x:v>Operations managers</x:v>
      </x:c>
      <x:c r="D8" s="90" t="str">
        <x:v>Define metric and interpretation</x:v>
      </x:c>
      <x:c r="E8" s="90" t="str">
        <x:v>Reporting Analyst</x:v>
      </x:c>
      <x:c r="F8" s="90" t="str">
        <x:v>Review</x:v>
      </x:c>
      <x:c r="G8" s="94" t="n">
        <x:v>46459</x:v>
      </x:c>
      <x:c r="H8" s="90" t="str">
        <x:v>CHG-004</x:v>
      </x:c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0" t="str">
        <x:v>DOC-006</x:v>
      </x:c>
      <x:c r="B9" s="90" t="str">
        <x:v>Completion Code Validation Notice</x:v>
      </x:c>
      <x:c r="C9" s="90" t="str">
        <x:v>Field users</x:v>
      </x:c>
      <x:c r="D9" s="90" t="str">
        <x:v>Explain new required field</x:v>
      </x:c>
      <x:c r="E9" s="90" t="str">
        <x:v>Business Analyst</x:v>
      </x:c>
      <x:c r="F9" s="90" t="str">
        <x:v>Complete</x:v>
      </x:c>
      <x:c r="G9" s="94" t="n">
        <x:v>46459</x:v>
      </x:c>
      <x:c r="H9" s="90" t="str">
        <x:v>CHG-005</x:v>
      </x:c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" t="str">
        <x:v>Enterprise Application Sustainment Lifecycle</x:v>
      </x:c>
      <x:c r="B1" s="5"/>
      <x:c r="C1" s="5"/>
      <x:c r="D1" s="5"/>
      <x:c r="E1" s="5"/>
      <x:c r="F1" s="5"/>
      <x:c r="G1" s="5"/>
      <x:c r="H1" s="5"/>
      <x:c r="I1" s="5"/>
      <x:c r="J1" s="5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47" t="str">
        <x:v>1. Request / Issue
Capture
Business need, user issue,
or improvement idea</x:v>
      </x:c>
      <x:c r="B4" s="48"/>
      <x:c r="C4" s="47" t="str">
        <x:v>2. Analyze /
Document
Requirements, impact,
priority, acceptance criteria</x:v>
      </x:c>
      <x:c r="D4" s="48"/>
      <x:c r="E4" s="47" t="str">
        <x:v>3. Test /
Validate
UAT, defect logging,
results and evidence</x:v>
      </x:c>
      <x:c r="F4" s="48"/>
      <x:c r="G4" s="47" t="str">
        <x:v>4. Implement /
Coordinate
Change, communication,
rollback and release</x:v>
      </x:c>
      <x:c r="H4" s="48"/>
      <x:c r="I4" s="47" t="str">
        <x:v>5. Sustain /
Improve
Issue resolution, reporting,
job aids and lessons learned</x:v>
      </x:c>
      <x:c r="J4" s="4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49"/>
      <x:c r="B5" s="50"/>
      <x:c r="C5" s="49"/>
      <x:c r="D5" s="50"/>
      <x:c r="E5" s="49"/>
      <x:c r="F5" s="50"/>
      <x:c r="G5" s="49"/>
      <x:c r="H5" s="50"/>
      <x:c r="I5" s="49"/>
      <x:c r="J5" s="50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51"/>
      <x:c r="B6" s="52"/>
      <x:c r="C6" s="51"/>
      <x:c r="D6" s="52"/>
      <x:c r="E6" s="51"/>
      <x:c r="F6" s="52"/>
      <x:c r="G6" s="51"/>
      <x:c r="H6" s="52"/>
      <x:c r="I6" s="51"/>
      <x:c r="J6" s="52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0" t="str">
        <x:v>Traceability principle: each approved business requirement links to a UAT case and, where applicable, a change record. Failed tests create issues that are investigated, resolved, re-tested, and documented before release.</x:v>
      </x:c>
      <x:c r="B9" s="90"/>
      <x:c r="C9" s="90"/>
      <x:c r="D9" s="90"/>
      <x:c r="E9" s="90"/>
      <x:c r="F9" s="90"/>
      <x:c r="G9" s="90"/>
      <x:c r="H9" s="90"/>
      <x:c r="I9" s="90"/>
      <x:c r="J9" s="90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J1"/>
    <x:mergeCell ref="A4:B6"/>
    <x:mergeCell ref="C4:D6"/>
    <x:mergeCell ref="E4:F6"/>
    <x:mergeCell ref="G4:H6"/>
    <x:mergeCell ref="I4:J6"/>
    <x:mergeCell ref="A9:J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DX Sustainment / UAT Dashboard — Simulated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96" t="str">
        <x:v>Requirements</x:v>
      </x:c>
      <x:c r="B3" s="96"/>
      <x:c r="C3" s="88"/>
      <x:c r="D3" s="96" t="str">
        <x:v>Approved / Testing</x:v>
      </x:c>
      <x:c r="E3" s="96"/>
      <x:c r="F3" s="88"/>
      <x:c r="G3" s="96" t="str">
        <x:v>UAT Pass Rate</x:v>
      </x:c>
      <x:c r="H3" s="96"/>
      <x:c r="I3" s="88"/>
      <x:c r="J3" s="96" t="str">
        <x:v>Open Issues</x:v>
      </x:c>
      <x:c r="K3" s="96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97" t="n">
        <x:f>COUNTA('Requirements Register'!A4:A11)</x:f>
        <x:v>8</x:v>
      </x:c>
      <x:c r="B4" s="97"/>
      <x:c r="C4" s="88"/>
      <x:c r="D4" s="97" t="n">
        <x:f>COUNTIF('Requirements Register'!H4:H11,"Approved")+COUNTIF('Requirements Register'!H4:H11,"In Testing")</x:f>
        <x:v>6</x:v>
      </x:c>
      <x:c r="E4" s="97"/>
      <x:c r="F4" s="88"/>
      <x:c r="G4" s="98" t="n">
        <x:f>COUNTIF('UAT Test Cases'!H4:H11,"Pass")/COUNTA('UAT Test Cases'!H4:H11)</x:f>
        <x:v>0.75</x:v>
      </x:c>
      <x:c r="H4" s="98"/>
      <x:c r="I4" s="88"/>
      <x:c r="J4" s="97" t="n">
        <x:f>COUNTIF('Issue Log'!J4:J28,"Open")+COUNTIF('Issue Log'!J4:J28,"In Progress")</x:f>
        <x:v>4</x:v>
      </x:c>
      <x:c r="K4" s="97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88"/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96" t="str">
        <x:v>High/Critical Issues</x:v>
      </x:c>
      <x:c r="B6" s="96"/>
      <x:c r="C6" s="88"/>
      <x:c r="D6" s="96" t="str">
        <x:v>Resolved Issues</x:v>
      </x:c>
      <x:c r="E6" s="96"/>
      <x:c r="F6" s="88"/>
      <x:c r="G6" s="96" t="str">
        <x:v>Changes Ready</x:v>
      </x:c>
      <x:c r="H6" s="96"/>
      <x:c r="I6" s="88"/>
      <x:c r="J6" s="96" t="str">
        <x:v>Docs Complete</x:v>
      </x:c>
      <x:c r="K6" s="96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97" t="n">
        <x:f>COUNTIF('Issue Log'!E4:E28,"High")+COUNTIF('Issue Log'!E4:E28,"Critical")</x:f>
        <x:v>9</x:v>
      </x:c>
      <x:c r="B7" s="97"/>
      <x:c r="C7" s="88"/>
      <x:c r="D7" s="97" t="n">
        <x:f>COUNTIF('Issue Log'!J4:J28,"Resolved")</x:f>
        <x:v>21</x:v>
      </x:c>
      <x:c r="E7" s="97"/>
      <x:c r="F7" s="88"/>
      <x:c r="G7" s="97" t="n">
        <x:f>COUNTIF('Change Tracker'!K4:K9,"Ready")</x:f>
        <x:v>3</x:v>
      </x:c>
      <x:c r="H7" s="97"/>
      <x:c r="I7" s="88"/>
      <x:c r="J7" s="97" t="n">
        <x:f>COUNTIF('User Documentation'!F4:F9,"Complete")</x:f>
        <x:v>4</x:v>
      </x:c>
      <x:c r="K7" s="97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18" t="str">
        <x:v>Issue Category</x:v>
      </x:c>
      <x:c r="B10" s="18" t="str">
        <x:v>Count</x:v>
      </x:c>
      <x:c r="C10" s="88"/>
      <x:c r="D10" s="88"/>
      <x:c r="E10" s="18" t="str">
        <x:v>UAT Status</x:v>
      </x:c>
      <x:c r="F10" s="18" t="str">
        <x:v>Count</x:v>
      </x:c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88" t="str">
        <x:v>Data Quality</x:v>
      </x:c>
      <x:c r="B11" s="88" t="n">
        <x:f>COUNTIF('Issue Log'!$D$4:$D$28,A11)</x:f>
        <x:v>6</x:v>
      </x:c>
      <x:c r="C11" s="88"/>
      <x:c r="D11" s="88"/>
      <x:c r="E11" s="88" t="str">
        <x:v>Pass</x:v>
      </x:c>
      <x:c r="F11" s="88" t="n">
        <x:f>COUNTIF('UAT Test Cases'!$H$4:$H$11,E11)</x:f>
        <x:v>6</x:v>
      </x:c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88" t="str">
        <x:v>Application Error</x:v>
      </x:c>
      <x:c r="B12" s="88" t="n">
        <x:f>COUNTIF('Issue Log'!$D$4:$D$28,A12)</x:f>
        <x:v>6</x:v>
      </x:c>
      <x:c r="C12" s="88"/>
      <x:c r="D12" s="88"/>
      <x:c r="E12" s="88" t="str">
        <x:v>Fail</x:v>
      </x:c>
      <x:c r="F12" s="88" t="n">
        <x:f>COUNTIF('UAT Test Cases'!$H$4:$H$11,E12)</x:f>
        <x:v>1</x:v>
      </x:c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88" t="str">
        <x:v>Access</x:v>
      </x:c>
      <x:c r="B13" s="88" t="n">
        <x:f>COUNTIF('Issue Log'!$D$4:$D$28,A13)</x:f>
        <x:v>2</x:v>
      </x:c>
      <x:c r="C13" s="88"/>
      <x:c r="D13" s="88"/>
      <x:c r="E13" s="88" t="str">
        <x:v>Blocked</x:v>
      </x:c>
      <x:c r="F13" s="88" t="n">
        <x:f>COUNTIF('UAT Test Cases'!$H$4:$H$11,E13)</x:f>
        <x:v>1</x:v>
      </x:c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 t="str">
        <x:v>Reporting</x:v>
      </x:c>
      <x:c r="B14" s="88" t="n">
        <x:f>COUNTIF('Issue Log'!$D$4:$D$28,A14)</x:f>
        <x:v>4</x:v>
      </x:c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 t="str">
        <x:v>Sync</x:v>
      </x:c>
      <x:c r="B15" s="88" t="n">
        <x:f>COUNTIF('Issue Log'!$D$4:$D$28,A15)</x:f>
        <x:v>3</x:v>
      </x:c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88" t="str">
        <x:v>Performance</x:v>
      </x:c>
      <x:c r="B16" s="88" t="n">
        <x:f>COUNTIF('Issue Log'!$D$4:$D$28,A16)</x:f>
        <x:v>4</x:v>
      </x:c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9" t="str">
        <x:v>Portfolio Note</x:v>
      </x:c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90" t="str">
        <x:v>This project uses simulated enterprise-application data to demonstrate requirements traceability, UAT, reporting, issue investigation, change coordination, user documentation, and continuous improvement.</x:v>
      </x:c>
      <x:c r="B35" s="90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  <x:c r="J36" s="90"/>
      <x:c r="K36" s="90"/>
      <x:c r="L36" s="90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  <x:c r="J37" s="90"/>
      <x:c r="K37" s="90"/>
      <x:c r="L37" s="90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  <x:row r="101">
      <x:c r="A101" s="88"/>
      <x:c r="B101" s="88"/>
      <x:c r="C101" s="88"/>
      <x:c r="D101" s="88"/>
      <x:c r="E101" s="88"/>
      <x:c r="F101" s="88"/>
      <x:c r="G101" s="88"/>
      <x:c r="H101" s="88"/>
      <x:c r="I101" s="88"/>
      <x:c r="J101" s="88"/>
      <x:c r="K101" s="88"/>
      <x:c r="L101" s="88"/>
      <x:c r="M101" s="88"/>
      <x:c r="N101" s="88"/>
      <x:c r="O101" s="88"/>
      <x:c r="P101" s="88"/>
      <x:c r="Q101" s="88"/>
      <x:c r="R101" s="88"/>
      <x:c r="S101" s="88"/>
      <x:c r="T101" s="88"/>
      <x:c r="U101" s="88"/>
      <x:c r="V101" s="88"/>
      <x:c r="W101" s="88"/>
      <x:c r="X101" s="88"/>
      <x:c r="Y101" s="88"/>
      <x:c r="Z101" s="88"/>
    </x:row>
    <x:row r="102">
      <x:c r="A102" s="88"/>
      <x:c r="B102" s="88"/>
      <x:c r="C102" s="88"/>
      <x:c r="D102" s="88"/>
      <x:c r="E102" s="88"/>
      <x:c r="F102" s="88"/>
      <x:c r="G102" s="88"/>
      <x:c r="H102" s="88"/>
      <x:c r="I102" s="88"/>
      <x:c r="J102" s="88"/>
      <x:c r="K102" s="88"/>
      <x:c r="L102" s="88"/>
      <x:c r="M102" s="88"/>
      <x:c r="N102" s="88"/>
      <x:c r="O102" s="88"/>
      <x:c r="P102" s="88"/>
      <x:c r="Q102" s="88"/>
      <x:c r="R102" s="88"/>
      <x:c r="S102" s="88"/>
      <x:c r="T102" s="88"/>
      <x:c r="U102" s="88"/>
      <x:c r="V102" s="88"/>
      <x:c r="W102" s="88"/>
      <x:c r="X102" s="88"/>
      <x:c r="Y102" s="88"/>
      <x:c r="Z102" s="88"/>
    </x:row>
    <x:row r="103">
      <x:c r="A103" s="88"/>
      <x:c r="B103" s="88"/>
      <x:c r="C103" s="88"/>
      <x:c r="D103" s="88"/>
      <x:c r="E103" s="88"/>
      <x:c r="F103" s="88"/>
      <x:c r="G103" s="88"/>
      <x:c r="H103" s="88"/>
      <x:c r="I103" s="88"/>
      <x:c r="J103" s="88"/>
      <x:c r="K103" s="88"/>
      <x:c r="L103" s="88"/>
      <x:c r="M103" s="88"/>
      <x:c r="N103" s="88"/>
      <x:c r="O103" s="88"/>
      <x:c r="P103" s="88"/>
      <x:c r="Q103" s="88"/>
      <x:c r="R103" s="88"/>
      <x:c r="S103" s="88"/>
      <x:c r="T103" s="88"/>
      <x:c r="U103" s="88"/>
      <x:c r="V103" s="88"/>
      <x:c r="W103" s="88"/>
      <x:c r="X103" s="88"/>
      <x:c r="Y103" s="88"/>
      <x:c r="Z103" s="88"/>
    </x:row>
    <x:row r="104">
      <x:c r="A104" s="88"/>
      <x:c r="B104" s="88"/>
      <x:c r="C104" s="88"/>
      <x:c r="D104" s="88"/>
      <x:c r="E104" s="88"/>
      <x:c r="F104" s="88"/>
      <x:c r="G104" s="88"/>
      <x:c r="H104" s="88"/>
      <x:c r="I104" s="88"/>
      <x:c r="J104" s="88"/>
      <x:c r="K104" s="88"/>
      <x:c r="L104" s="88"/>
      <x:c r="M104" s="88"/>
      <x:c r="N104" s="88"/>
      <x:c r="O104" s="88"/>
      <x:c r="P104" s="88"/>
      <x:c r="Q104" s="88"/>
      <x:c r="R104" s="88"/>
      <x:c r="S104" s="88"/>
      <x:c r="T104" s="88"/>
      <x:c r="U104" s="88"/>
      <x:c r="V104" s="88"/>
      <x:c r="W104" s="88"/>
      <x:c r="X104" s="88"/>
      <x:c r="Y104" s="88"/>
      <x:c r="Z104" s="88"/>
    </x:row>
    <x:row r="105">
      <x:c r="A105" s="88"/>
      <x:c r="B105" s="88"/>
      <x:c r="C105" s="88"/>
      <x:c r="D105" s="88"/>
      <x:c r="E105" s="88"/>
      <x:c r="F105" s="88"/>
      <x:c r="G105" s="88"/>
      <x:c r="H105" s="88"/>
      <x:c r="I105" s="88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  <x:c r="W105" s="88"/>
      <x:c r="X105" s="88"/>
      <x:c r="Y105" s="88"/>
      <x:c r="Z105" s="88"/>
    </x:row>
    <x:row r="106">
      <x:c r="A106" s="88"/>
      <x:c r="B106" s="88"/>
      <x:c r="C106" s="88"/>
      <x:c r="D106" s="88"/>
      <x:c r="E106" s="88"/>
      <x:c r="F106" s="88"/>
      <x:c r="G106" s="88"/>
      <x:c r="H106" s="88"/>
      <x:c r="I106" s="88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  <x:c r="V106" s="88"/>
      <x:c r="W106" s="88"/>
      <x:c r="X106" s="88"/>
      <x:c r="Y106" s="88"/>
      <x:c r="Z106" s="88"/>
    </x:row>
    <x:row r="107">
      <x:c r="A107" s="88"/>
      <x:c r="B107" s="88"/>
      <x:c r="C107" s="88"/>
      <x:c r="D107" s="88"/>
      <x:c r="E107" s="88"/>
      <x:c r="F107" s="88"/>
      <x:c r="G107" s="88"/>
      <x:c r="H107" s="88"/>
      <x:c r="I107" s="88"/>
      <x:c r="J107" s="88"/>
      <x:c r="K107" s="88"/>
      <x:c r="L107" s="88"/>
      <x:c r="M107" s="88"/>
      <x:c r="N107" s="88"/>
      <x:c r="O107" s="88"/>
      <x:c r="P107" s="88"/>
      <x:c r="Q107" s="88"/>
      <x:c r="R107" s="88"/>
      <x:c r="S107" s="88"/>
      <x:c r="T107" s="88"/>
      <x:c r="U107" s="88"/>
      <x:c r="V107" s="88"/>
      <x:c r="W107" s="88"/>
      <x:c r="X107" s="88"/>
      <x:c r="Y107" s="88"/>
      <x:c r="Z107" s="88"/>
    </x:row>
    <x:row r="108">
      <x:c r="A108" s="88"/>
      <x:c r="B108" s="88"/>
      <x:c r="C108" s="88"/>
      <x:c r="D108" s="88"/>
      <x:c r="E108" s="88"/>
      <x:c r="F108" s="88"/>
      <x:c r="G108" s="88"/>
      <x:c r="H108" s="88"/>
      <x:c r="I108" s="88"/>
      <x:c r="J108" s="88"/>
      <x:c r="K108" s="88"/>
      <x:c r="L108" s="88"/>
      <x:c r="M108" s="88"/>
      <x:c r="N108" s="88"/>
      <x:c r="O108" s="88"/>
      <x:c r="P108" s="88"/>
      <x:c r="Q108" s="88"/>
      <x:c r="R108" s="88"/>
      <x:c r="S108" s="88"/>
      <x:c r="T108" s="88"/>
      <x:c r="U108" s="88"/>
      <x:c r="V108" s="88"/>
      <x:c r="W108" s="88"/>
      <x:c r="X108" s="88"/>
      <x:c r="Y108" s="88"/>
      <x:c r="Z108" s="88"/>
    </x:row>
    <x:row r="109">
      <x:c r="A109" s="88"/>
      <x:c r="B109" s="88"/>
      <x:c r="C109" s="88"/>
      <x:c r="D109" s="88"/>
      <x:c r="E109" s="88"/>
      <x:c r="F109" s="88"/>
      <x:c r="G109" s="88"/>
      <x:c r="H109" s="88"/>
      <x:c r="I109" s="88"/>
      <x:c r="J109" s="88"/>
      <x:c r="K109" s="88"/>
      <x:c r="L109" s="88"/>
      <x:c r="M109" s="88"/>
      <x:c r="N109" s="88"/>
      <x:c r="O109" s="88"/>
      <x:c r="P109" s="88"/>
      <x:c r="Q109" s="88"/>
      <x:c r="R109" s="88"/>
      <x:c r="S109" s="88"/>
      <x:c r="T109" s="88"/>
      <x:c r="U109" s="88"/>
      <x:c r="V109" s="88"/>
      <x:c r="W109" s="88"/>
      <x:c r="X109" s="88"/>
      <x:c r="Y109" s="88"/>
      <x:c r="Z109" s="88"/>
    </x:row>
    <x:row r="110">
      <x:c r="A110" s="88"/>
      <x:c r="B110" s="88"/>
      <x:c r="C110" s="88"/>
      <x:c r="D110" s="88"/>
      <x:c r="E110" s="88"/>
      <x:c r="F110" s="88"/>
      <x:c r="G110" s="88"/>
      <x:c r="H110" s="88"/>
      <x:c r="I110" s="88"/>
      <x:c r="J110" s="88"/>
      <x:c r="K110" s="88"/>
      <x:c r="L110" s="88"/>
      <x:c r="M110" s="88"/>
      <x:c r="N110" s="88"/>
      <x:c r="O110" s="88"/>
      <x:c r="P110" s="88"/>
      <x:c r="Q110" s="88"/>
      <x:c r="R110" s="88"/>
      <x:c r="S110" s="88"/>
      <x:c r="T110" s="88"/>
      <x:c r="U110" s="88"/>
      <x:c r="V110" s="88"/>
      <x:c r="W110" s="88"/>
      <x:c r="X110" s="88"/>
      <x:c r="Y110" s="88"/>
      <x:c r="Z110" s="88"/>
    </x:row>
    <x:row r="111">
      <x:c r="A111" s="88"/>
      <x:c r="B111" s="88"/>
      <x:c r="C111" s="88"/>
      <x:c r="D111" s="88"/>
      <x:c r="E111" s="88"/>
      <x:c r="F111" s="88"/>
      <x:c r="G111" s="88"/>
      <x:c r="H111" s="88"/>
      <x:c r="I111" s="88"/>
      <x:c r="J111" s="88"/>
      <x:c r="K111" s="88"/>
      <x:c r="L111" s="88"/>
      <x:c r="M111" s="88"/>
      <x:c r="N111" s="88"/>
      <x:c r="O111" s="88"/>
      <x:c r="P111" s="88"/>
      <x:c r="Q111" s="88"/>
      <x:c r="R111" s="88"/>
      <x:c r="S111" s="88"/>
      <x:c r="T111" s="88"/>
      <x:c r="U111" s="88"/>
      <x:c r="V111" s="88"/>
      <x:c r="W111" s="88"/>
      <x:c r="X111" s="88"/>
      <x:c r="Y111" s="88"/>
      <x:c r="Z111" s="88"/>
    </x:row>
    <x:row r="112">
      <x:c r="A112" s="88"/>
      <x:c r="B112" s="88"/>
      <x:c r="C112" s="88"/>
      <x:c r="D112" s="88"/>
      <x:c r="E112" s="88"/>
      <x:c r="F112" s="88"/>
      <x:c r="G112" s="88"/>
      <x:c r="H112" s="88"/>
      <x:c r="I112" s="88"/>
      <x:c r="J112" s="88"/>
      <x:c r="K112" s="88"/>
      <x:c r="L112" s="88"/>
      <x:c r="M112" s="88"/>
      <x:c r="N112" s="88"/>
      <x:c r="O112" s="88"/>
      <x:c r="P112" s="88"/>
      <x:c r="Q112" s="88"/>
      <x:c r="R112" s="88"/>
      <x:c r="S112" s="88"/>
      <x:c r="T112" s="88"/>
      <x:c r="U112" s="88"/>
      <x:c r="V112" s="88"/>
      <x:c r="W112" s="88"/>
      <x:c r="X112" s="88"/>
      <x:c r="Y112" s="88"/>
      <x:c r="Z112" s="88"/>
    </x:row>
    <x:row r="113">
      <x:c r="A113" s="88"/>
      <x:c r="B113" s="88"/>
      <x:c r="C113" s="88"/>
      <x:c r="D113" s="88"/>
      <x:c r="E113" s="88"/>
      <x:c r="F113" s="88"/>
      <x:c r="G113" s="88"/>
      <x:c r="H113" s="88"/>
      <x:c r="I113" s="88"/>
      <x:c r="J113" s="88"/>
      <x:c r="K113" s="88"/>
      <x:c r="L113" s="88"/>
      <x:c r="M113" s="88"/>
      <x:c r="N113" s="88"/>
      <x:c r="O113" s="88"/>
      <x:c r="P113" s="88"/>
      <x:c r="Q113" s="88"/>
      <x:c r="R113" s="88"/>
      <x:c r="S113" s="88"/>
      <x:c r="T113" s="88"/>
      <x:c r="U113" s="88"/>
      <x:c r="V113" s="88"/>
      <x:c r="W113" s="88"/>
      <x:c r="X113" s="88"/>
      <x:c r="Y113" s="88"/>
      <x:c r="Z113" s="88"/>
    </x:row>
    <x:row r="114">
      <x:c r="A114" s="88"/>
      <x:c r="B114" s="88"/>
      <x:c r="C114" s="88"/>
      <x:c r="D114" s="88"/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8"/>
      <x:c r="S114" s="88"/>
      <x:c r="T114" s="88"/>
      <x:c r="U114" s="88"/>
      <x:c r="V114" s="88"/>
      <x:c r="W114" s="88"/>
      <x:c r="X114" s="88"/>
      <x:c r="Y114" s="88"/>
      <x:c r="Z114" s="88"/>
    </x:row>
    <x:row r="115">
      <x:c r="A115" s="88"/>
      <x:c r="B115" s="88"/>
      <x:c r="C115" s="88"/>
      <x:c r="D115" s="88"/>
      <x:c r="E115" s="88"/>
      <x:c r="F115" s="88"/>
      <x:c r="G115" s="88"/>
      <x:c r="H115" s="88"/>
      <x:c r="I115" s="88"/>
      <x:c r="J115" s="88"/>
      <x:c r="K115" s="88"/>
      <x:c r="L115" s="88"/>
      <x:c r="M115" s="88"/>
      <x:c r="N115" s="88"/>
      <x:c r="O115" s="88"/>
      <x:c r="P115" s="88"/>
      <x:c r="Q115" s="88"/>
      <x:c r="R115" s="88"/>
      <x:c r="S115" s="88"/>
      <x:c r="T115" s="88"/>
      <x:c r="U115" s="88"/>
      <x:c r="V115" s="88"/>
      <x:c r="W115" s="88"/>
      <x:c r="X115" s="88"/>
      <x:c r="Y115" s="88"/>
      <x:c r="Z115" s="88"/>
    </x:row>
    <x:row r="116">
      <x:c r="A116" s="88"/>
      <x:c r="B116" s="88"/>
      <x:c r="C116" s="88"/>
      <x:c r="D116" s="88"/>
      <x:c r="E116" s="88"/>
      <x:c r="F116" s="88"/>
      <x:c r="G116" s="88"/>
      <x:c r="H116" s="88"/>
      <x:c r="I116" s="88"/>
      <x:c r="J116" s="88"/>
      <x:c r="K116" s="88"/>
      <x:c r="L116" s="88"/>
      <x:c r="M116" s="88"/>
      <x:c r="N116" s="88"/>
      <x:c r="O116" s="88"/>
      <x:c r="P116" s="88"/>
      <x:c r="Q116" s="88"/>
      <x:c r="R116" s="88"/>
      <x:c r="S116" s="88"/>
      <x:c r="T116" s="88"/>
      <x:c r="U116" s="88"/>
      <x:c r="V116" s="88"/>
      <x:c r="W116" s="88"/>
      <x:c r="X116" s="88"/>
      <x:c r="Y116" s="88"/>
      <x:c r="Z116" s="88"/>
    </x:row>
    <x:row r="117">
      <x:c r="A117" s="88"/>
      <x:c r="B117" s="88"/>
      <x:c r="C117" s="88"/>
      <x:c r="D117" s="88"/>
      <x:c r="E117" s="88"/>
      <x:c r="F117" s="88"/>
      <x:c r="G117" s="88"/>
      <x:c r="H117" s="88"/>
      <x:c r="I117" s="88"/>
      <x:c r="J117" s="88"/>
      <x:c r="K117" s="88"/>
      <x:c r="L117" s="88"/>
      <x:c r="M117" s="88"/>
      <x:c r="N117" s="88"/>
      <x:c r="O117" s="88"/>
      <x:c r="P117" s="88"/>
      <x:c r="Q117" s="88"/>
      <x:c r="R117" s="88"/>
      <x:c r="S117" s="88"/>
      <x:c r="T117" s="88"/>
      <x:c r="U117" s="88"/>
      <x:c r="V117" s="88"/>
      <x:c r="W117" s="88"/>
      <x:c r="X117" s="88"/>
      <x:c r="Y117" s="88"/>
      <x:c r="Z117" s="88"/>
    </x:row>
    <x:row r="118">
      <x:c r="A118" s="88"/>
      <x:c r="B118" s="88"/>
      <x:c r="C118" s="88"/>
      <x:c r="D118" s="88"/>
      <x:c r="E118" s="88"/>
      <x:c r="F118" s="88"/>
      <x:c r="G118" s="88"/>
      <x:c r="H118" s="88"/>
      <x:c r="I118" s="88"/>
      <x:c r="J118" s="88"/>
      <x:c r="K118" s="88"/>
      <x:c r="L118" s="88"/>
      <x:c r="M118" s="88"/>
      <x:c r="N118" s="88"/>
      <x:c r="O118" s="88"/>
      <x:c r="P118" s="88"/>
      <x:c r="Q118" s="88"/>
      <x:c r="R118" s="88"/>
      <x:c r="S118" s="88"/>
      <x:c r="T118" s="88"/>
      <x:c r="U118" s="88"/>
      <x:c r="V118" s="88"/>
      <x:c r="W118" s="88"/>
      <x:c r="X118" s="88"/>
      <x:c r="Y118" s="88"/>
      <x:c r="Z118" s="88"/>
    </x:row>
    <x:row r="119">
      <x:c r="A119" s="88"/>
      <x:c r="B119" s="88"/>
      <x:c r="C119" s="88"/>
      <x:c r="D119" s="88"/>
      <x:c r="E119" s="88"/>
      <x:c r="F119" s="88"/>
      <x:c r="G119" s="88"/>
      <x:c r="H119" s="88"/>
      <x:c r="I119" s="88"/>
      <x:c r="J119" s="88"/>
      <x:c r="K119" s="88"/>
      <x:c r="L119" s="88"/>
      <x:c r="M119" s="88"/>
      <x:c r="N119" s="88"/>
      <x:c r="O119" s="88"/>
      <x:c r="P119" s="88"/>
      <x:c r="Q119" s="88"/>
      <x:c r="R119" s="88"/>
      <x:c r="S119" s="88"/>
      <x:c r="T119" s="88"/>
      <x:c r="U119" s="88"/>
      <x:c r="V119" s="88"/>
      <x:c r="W119" s="88"/>
      <x:c r="X119" s="88"/>
      <x:c r="Y119" s="88"/>
      <x:c r="Z119" s="88"/>
    </x:row>
    <x:row r="120">
      <x:c r="A120" s="88"/>
      <x:c r="B120" s="88"/>
      <x:c r="C120" s="88"/>
      <x:c r="D120" s="88"/>
      <x:c r="E120" s="88"/>
      <x:c r="F120" s="88"/>
      <x:c r="G120" s="88"/>
      <x:c r="H120" s="88"/>
      <x:c r="I120" s="88"/>
      <x:c r="J120" s="88"/>
      <x:c r="K120" s="88"/>
      <x:c r="L120" s="88"/>
      <x:c r="M120" s="88"/>
      <x:c r="N120" s="88"/>
      <x:c r="O120" s="88"/>
      <x:c r="P120" s="88"/>
      <x:c r="Q120" s="88"/>
      <x:c r="R120" s="88"/>
      <x:c r="S120" s="88"/>
      <x:c r="T120" s="88"/>
      <x:c r="U120" s="88"/>
      <x:c r="V120" s="88"/>
      <x:c r="W120" s="88"/>
      <x:c r="X120" s="88"/>
      <x:c r="Y120" s="88"/>
      <x:c r="Z120" s="88"/>
    </x:row>
  </x:sheetData>
  <x:mergeCells>
    <x:mergeCell ref="A1:L1"/>
    <x:mergeCell ref="A3:B3"/>
    <x:mergeCell ref="A4:B4"/>
    <x:mergeCell ref="D3:E3"/>
    <x:mergeCell ref="D4:E4"/>
    <x:mergeCell ref="G3:H3"/>
    <x:mergeCell ref="G4:H4"/>
    <x:mergeCell ref="J3:K3"/>
    <x:mergeCell ref="J4:K4"/>
    <x:mergeCell ref="A6:B6"/>
    <x:mergeCell ref="A7:B7"/>
    <x:mergeCell ref="D6:E6"/>
    <x:mergeCell ref="D7:E7"/>
    <x:mergeCell ref="G6:H6"/>
    <x:mergeCell ref="G7:H7"/>
    <x:mergeCell ref="J6:K6"/>
    <x:mergeCell ref="J7:K7"/>
    <x:mergeCell ref="A34:L34"/>
    <x:mergeCell ref="A35:L37"/>
  </x:mergeCells>
  <x:pageMargins left="0.7" right="0.7" top="0.75" bottom="0.75" header="0.3" footer="0.3"/>
  <x:drawing xmlns:r="http://schemas.openxmlformats.org/officeDocument/2006/relationships" r:id="Rb7107d73236f4e66"/>
</x:worksheet>
</file>